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- CONTABILIDADE -\Automação\JETTAX\"/>
    </mc:Choice>
  </mc:AlternateContent>
  <xr:revisionPtr revIDLastSave="0" documentId="13_ncr:1_{93B60EE2-12AC-47BB-A349-F9CA4039D6C7}" xr6:coauthVersionLast="36" xr6:coauthVersionMax="36" xr10:uidLastSave="{00000000-0000-0000-0000-000000000000}"/>
  <bookViews>
    <workbookView xWindow="32772" yWindow="32772" windowWidth="9660" windowHeight="5496" xr2:uid="{00000000-000D-0000-FFFF-FFFF00000000}"/>
  </bookViews>
  <sheets>
    <sheet name="RELAÇÃO DE EMPRESAS" sheetId="1" r:id="rId1"/>
    <sheet name="Planilha1" sheetId="2" r:id="rId2"/>
  </sheets>
  <calcPr calcId="191029"/>
</workbook>
</file>

<file path=xl/calcChain.xml><?xml version="1.0" encoding="utf-8"?>
<calcChain xmlns="http://schemas.openxmlformats.org/spreadsheetml/2006/main">
  <c r="C74" i="1" l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73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56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12" i="1"/>
  <c r="C10" i="1"/>
  <c r="C11" i="1"/>
  <c r="C9" i="1"/>
  <c r="O216" i="1" l="1"/>
  <c r="O137" i="1"/>
  <c r="O41" i="1"/>
  <c r="O208" i="1"/>
  <c r="O205" i="1"/>
  <c r="O134" i="1"/>
  <c r="O49" i="1"/>
  <c r="O177" i="1"/>
  <c r="O103" i="1"/>
  <c r="O172" i="1"/>
  <c r="O170" i="1"/>
  <c r="O98" i="1"/>
  <c r="O97" i="1"/>
  <c r="O63" i="1"/>
  <c r="O94" i="1"/>
  <c r="O16" i="1"/>
  <c r="O124" i="1"/>
  <c r="O155" i="1"/>
  <c r="O152" i="1"/>
  <c r="O48" i="1"/>
  <c r="N137" i="1"/>
  <c r="N70" i="1"/>
  <c r="N184" i="1"/>
  <c r="N73" i="1"/>
  <c r="N60" i="1"/>
  <c r="N102" i="1"/>
  <c r="N139" i="1"/>
  <c r="N85" i="1"/>
  <c r="N95" i="1"/>
  <c r="N182" i="1"/>
  <c r="N114" i="1"/>
  <c r="N111" i="1"/>
  <c r="N80" i="1"/>
  <c r="N87" i="1"/>
  <c r="N100" i="1"/>
  <c r="N29" i="1"/>
  <c r="N107" i="1"/>
  <c r="N156" i="1"/>
  <c r="N26" i="1"/>
  <c r="N72" i="1"/>
  <c r="N40" i="1"/>
  <c r="N148" i="1"/>
  <c r="N82" i="1"/>
  <c r="N104" i="1"/>
  <c r="N127" i="1"/>
  <c r="N132" i="1"/>
  <c r="N118" i="1"/>
  <c r="N98" i="1"/>
  <c r="N78" i="1"/>
  <c r="N83" i="1"/>
  <c r="N204" i="1"/>
  <c r="N69" i="1"/>
  <c r="N181" i="1"/>
  <c r="N208" i="1"/>
  <c r="N121" i="1"/>
  <c r="N216" i="1"/>
  <c r="N48" i="1"/>
  <c r="N183" i="1"/>
  <c r="N145" i="1"/>
  <c r="N177" i="1"/>
  <c r="N172" i="1"/>
  <c r="N116" i="1"/>
  <c r="N166" i="1"/>
  <c r="N18" i="1"/>
  <c r="N64" i="1"/>
  <c r="N218" i="1"/>
  <c r="N163" i="1"/>
  <c r="N174" i="1"/>
  <c r="N158" i="1"/>
  <c r="N176" i="1"/>
  <c r="N93" i="1"/>
  <c r="N27" i="1"/>
  <c r="N41" i="1"/>
  <c r="N131" i="1"/>
  <c r="N94" i="1"/>
  <c r="N13" i="1"/>
  <c r="N74" i="1"/>
  <c r="N130" i="1"/>
  <c r="N120" i="1"/>
  <c r="N76" i="1"/>
  <c r="N91" i="1"/>
  <c r="N10" i="1"/>
  <c r="N157" i="1"/>
  <c r="N21" i="1"/>
  <c r="N42" i="1"/>
  <c r="N213" i="1"/>
  <c r="N30" i="1"/>
  <c r="N24" i="1"/>
  <c r="N196" i="1"/>
  <c r="N36" i="1"/>
  <c r="N39" i="1"/>
  <c r="N221" i="1"/>
  <c r="N38" i="1"/>
  <c r="N194" i="1"/>
  <c r="N171" i="1"/>
  <c r="N8" i="1"/>
  <c r="N135" i="1"/>
  <c r="N54" i="1"/>
  <c r="N154" i="1"/>
  <c r="N37" i="1"/>
  <c r="N44" i="1"/>
  <c r="N25" i="1"/>
  <c r="N119" i="1"/>
  <c r="N58" i="1"/>
  <c r="N14" i="1"/>
  <c r="N101" i="1"/>
  <c r="N129" i="1"/>
  <c r="N143" i="1"/>
  <c r="N110" i="1"/>
  <c r="N34" i="1"/>
  <c r="N214" i="1"/>
  <c r="N192" i="1"/>
  <c r="N46" i="1"/>
  <c r="N45" i="1"/>
  <c r="N47" i="1"/>
  <c r="N198" i="1"/>
  <c r="N215" i="1"/>
  <c r="N199" i="1"/>
  <c r="N200" i="1"/>
  <c r="N20" i="1"/>
  <c r="N206" i="1"/>
  <c r="N162" i="1"/>
  <c r="N109" i="1"/>
  <c r="N168" i="1"/>
  <c r="N23" i="1"/>
  <c r="N190" i="1"/>
  <c r="N167" i="1"/>
  <c r="N220" i="1"/>
  <c r="N136" i="1"/>
  <c r="N43" i="1"/>
  <c r="N56" i="1"/>
  <c r="N57" i="1"/>
  <c r="N65" i="1"/>
  <c r="N4" i="1"/>
  <c r="N3" i="1"/>
  <c r="N67" i="1"/>
  <c r="N68" i="1"/>
  <c r="N99" i="1"/>
  <c r="N50" i="1"/>
  <c r="N89" i="1"/>
  <c r="N90" i="1"/>
  <c r="N88" i="1"/>
  <c r="N173" i="1"/>
  <c r="N77" i="1"/>
  <c r="N152" i="1"/>
  <c r="N115" i="1"/>
  <c r="N51" i="1"/>
  <c r="N142" i="1"/>
  <c r="N212" i="1"/>
  <c r="N144" i="1"/>
  <c r="N126" i="1"/>
  <c r="N63" i="1"/>
  <c r="N62" i="1"/>
  <c r="N180" i="1"/>
  <c r="N108" i="1"/>
  <c r="N159" i="1"/>
  <c r="N105" i="1"/>
  <c r="N210" i="1"/>
  <c r="N160" i="1"/>
  <c r="N117" i="1"/>
  <c r="N170" i="1"/>
  <c r="N86" i="1"/>
  <c r="N97" i="1"/>
  <c r="N19" i="1"/>
  <c r="N124" i="1"/>
  <c r="N31" i="1"/>
  <c r="N149" i="1"/>
  <c r="N178" i="1"/>
  <c r="N15" i="1"/>
  <c r="N22" i="1"/>
  <c r="N53" i="1"/>
  <c r="N75" i="1"/>
  <c r="N189" i="1"/>
  <c r="N147" i="1"/>
  <c r="N146" i="1"/>
  <c r="N138" i="1"/>
  <c r="N35" i="1"/>
  <c r="N59" i="1"/>
  <c r="N103" i="1"/>
  <c r="N205" i="1"/>
  <c r="N217" i="1"/>
  <c r="N11" i="1"/>
  <c r="N219" i="1"/>
  <c r="N16" i="1"/>
  <c r="N17" i="1"/>
  <c r="N52" i="1"/>
  <c r="N185" i="1"/>
  <c r="N197" i="1"/>
  <c r="N12" i="1"/>
  <c r="N92" i="1"/>
  <c r="N209" i="1"/>
  <c r="N6" i="1"/>
  <c r="N7" i="1"/>
  <c r="N71" i="1"/>
  <c r="N191" i="1"/>
  <c r="N187" i="1"/>
  <c r="N188" i="1"/>
  <c r="N169" i="1"/>
  <c r="N150" i="1"/>
  <c r="N193" i="1"/>
  <c r="N133" i="1"/>
  <c r="N134" i="1"/>
  <c r="N202" i="1"/>
  <c r="N55" i="1"/>
  <c r="N155" i="1"/>
  <c r="N140" i="1"/>
  <c r="N122" i="1"/>
  <c r="N179" i="1"/>
  <c r="N153" i="1"/>
  <c r="N81" i="1"/>
  <c r="N9" i="1"/>
  <c r="N84" i="1"/>
  <c r="N203" i="1"/>
  <c r="N128" i="1"/>
  <c r="N175" i="1"/>
  <c r="N49" i="1"/>
  <c r="N79" i="1"/>
  <c r="N186" i="1"/>
  <c r="N112" i="1"/>
  <c r="N164" i="1"/>
  <c r="N161" i="1"/>
  <c r="N125" i="1"/>
  <c r="N28" i="1"/>
  <c r="N211" i="1"/>
  <c r="N106" i="1"/>
  <c r="N113" i="1"/>
  <c r="N33" i="1"/>
  <c r="N96" i="1"/>
  <c r="N66" i="1"/>
  <c r="N32" i="1"/>
  <c r="N195" i="1"/>
  <c r="N61" i="1"/>
  <c r="N165" i="1"/>
  <c r="N141" i="1"/>
  <c r="N151" i="1"/>
  <c r="N123" i="1"/>
  <c r="N5" i="1"/>
  <c r="N201" i="1"/>
  <c r="N207" i="1"/>
</calcChain>
</file>

<file path=xl/sharedStrings.xml><?xml version="1.0" encoding="utf-8"?>
<sst xmlns="http://schemas.openxmlformats.org/spreadsheetml/2006/main" count="2141" uniqueCount="1434">
  <si>
    <t>VPS METALURGICA INDUSTRIAL LTDA</t>
  </si>
  <si>
    <t>Ramo atividade</t>
  </si>
  <si>
    <t>Responsável</t>
  </si>
  <si>
    <t/>
  </si>
  <si>
    <t>ANAPOLIS</t>
  </si>
  <si>
    <t>marco@netocontabilidade.com.br</t>
  </si>
  <si>
    <t>NEROPOLIS</t>
  </si>
  <si>
    <t>Incorporação de empreendimentos imobiliários</t>
  </si>
  <si>
    <t>JERRYMARQUES LIMA DA SILVA</t>
  </si>
  <si>
    <t>Mixgas20@gmail.com</t>
  </si>
  <si>
    <t>SILVANIA</t>
  </si>
  <si>
    <t>01051994000138</t>
  </si>
  <si>
    <t>KASSER TOUFIC BITTAR NETO</t>
  </si>
  <si>
    <t>katilenelimadiniz21@gmail.com</t>
  </si>
  <si>
    <t>Atividades de associações de defesa de direitos sociais</t>
  </si>
  <si>
    <t>SOCIEDADE CRISTA ORTODOXA BENEFICENTE DE ANAPOLIS</t>
  </si>
  <si>
    <t>13475865000156</t>
  </si>
  <si>
    <t>VANDO FURTADO DE SOUSA</t>
  </si>
  <si>
    <t>vando.fantasia.anapolis@gmail.com</t>
  </si>
  <si>
    <t>52202913522</t>
  </si>
  <si>
    <t>Aluguel de objetos do vestuário, jóias e acessórios</t>
  </si>
  <si>
    <t>FANTASIAS.COM LTDA</t>
  </si>
  <si>
    <t>04240555000161</t>
  </si>
  <si>
    <t>FERNANDO MASSIMILIANO SETTI DA PENHA</t>
  </si>
  <si>
    <t>fernando@g7tecnologia.com</t>
  </si>
  <si>
    <t>52201747688</t>
  </si>
  <si>
    <t>Suporte técnico, manutenção e outros serviços em tecnologia da informação</t>
  </si>
  <si>
    <t>GSETTI TECNOLOGIA LTDA</t>
  </si>
  <si>
    <t>Construção de edifícios</t>
  </si>
  <si>
    <t>GOIANIA</t>
  </si>
  <si>
    <t>13781288000120</t>
  </si>
  <si>
    <t>WELLINGTON RODOLFO TIMOTEU</t>
  </si>
  <si>
    <t>lccimentos.financeiro@hotmail.com</t>
  </si>
  <si>
    <t>52202946846</t>
  </si>
  <si>
    <t>Comércio atacadista de cimento</t>
  </si>
  <si>
    <t>LC DISTRIBUIDORA DE CIMENTOS LTDA</t>
  </si>
  <si>
    <t>Corretagem na compra e venda e avaliação de imóveis</t>
  </si>
  <si>
    <t>02551753000110</t>
  </si>
  <si>
    <t>WANDERLEY MARTINS DE OLIVEIRA</t>
  </si>
  <si>
    <t>w2mo@terra.com.br</t>
  </si>
  <si>
    <t>MASTER CONSTRUCOES LTDA</t>
  </si>
  <si>
    <t>05076134000100</t>
  </si>
  <si>
    <t>BELGRANO LOPES DE MENDONÇA</t>
  </si>
  <si>
    <t>vitoriaagropec@gmail.com</t>
  </si>
  <si>
    <t>52202213300</t>
  </si>
  <si>
    <t>CORUMBA DE GOIAS</t>
  </si>
  <si>
    <t>VITORIA AGROPECUARIA E EMPREENDIMENTOS IMOBILIARIOS LTDA</t>
  </si>
  <si>
    <t>06303814000181</t>
  </si>
  <si>
    <t>JULIAN YIN VIEIRA BORGES</t>
  </si>
  <si>
    <t>mariatereza_10@hotmail.com</t>
  </si>
  <si>
    <t>52202076558</t>
  </si>
  <si>
    <t>Comércio atacadista de mercadorias em geral, sem predominância de alimentos ou de insumos agropecuários</t>
  </si>
  <si>
    <t>PALOMA EXPORTS IMPORTADORA E EXPORTADORA LTDA</t>
  </si>
  <si>
    <t>Comércio atacadista de sementes, flores, plantas e gramas</t>
  </si>
  <si>
    <t>13987777000133</t>
  </si>
  <si>
    <t xml:space="preserve">TULIO CHAVEIRO </t>
  </si>
  <si>
    <t>tuliochaveiro@hotmail.com</t>
  </si>
  <si>
    <t>52202963686</t>
  </si>
  <si>
    <t>TCX BUSINESS LTDA</t>
  </si>
  <si>
    <t>13962189000145</t>
  </si>
  <si>
    <t>GILSON OLIVEIRA DA SILVA</t>
  </si>
  <si>
    <t>Financeiro1@promidiadigital.com.br</t>
  </si>
  <si>
    <t>52202959310</t>
  </si>
  <si>
    <t>Atividades de produção cinematográfica, de vídeos e de programas de televisão não especificadas anteriormente</t>
  </si>
  <si>
    <t>PROMOVE PRODUTORA LTDA</t>
  </si>
  <si>
    <t>Comércio varejista de artigos do vestuário e acessórios</t>
  </si>
  <si>
    <t>14535676000194</t>
  </si>
  <si>
    <t>MARCOS ANTONIO DA FONSECA</t>
  </si>
  <si>
    <t>marcosfonseca28@gmail.com</t>
  </si>
  <si>
    <t>52203005425</t>
  </si>
  <si>
    <t>Representantes comerciais e agentes do comércio de produtos alimentícios, bebidas e fumo</t>
  </si>
  <si>
    <t>FONSECA &amp; ALVES REPRESENTACOES LTDA</t>
  </si>
  <si>
    <t>52202566504</t>
  </si>
  <si>
    <t>Comércio atacadista de componentes eletrônicos e equipamentos de telefonia e comunicação</t>
  </si>
  <si>
    <t>SANTO SAL HAMBURGUERIA, STEAK E PANKEKA LTDA</t>
  </si>
  <si>
    <t>JOSE PAULO TINAZO</t>
  </si>
  <si>
    <t>14751414000167</t>
  </si>
  <si>
    <t>HERMES CARRIJO COELHO</t>
  </si>
  <si>
    <t>merceariacarrijo@outlook.com</t>
  </si>
  <si>
    <t>52103392281</t>
  </si>
  <si>
    <t>Comércio varejista de mercadorias em geral, com predominância de produtos alimentícios - minimercados, mercearias e armazéns</t>
  </si>
  <si>
    <t>GOIANAPOLIS</t>
  </si>
  <si>
    <t>87838966191</t>
  </si>
  <si>
    <t>MATEUS CARVALHO NETO</t>
  </si>
  <si>
    <t>FAGNER MIRANDA BRAGA</t>
  </si>
  <si>
    <t>agrocerradoanapolis@hotmail.com</t>
  </si>
  <si>
    <t>15090553000150</t>
  </si>
  <si>
    <t>LUIS MIGUEL REBELO VAZ</t>
  </si>
  <si>
    <t>ajleitao.adv@gmail.com</t>
  </si>
  <si>
    <t>52203052261</t>
  </si>
  <si>
    <t>POLISBUILD EMPREENDIMENTOS LTDA</t>
  </si>
  <si>
    <t>Restaurantes e similares</t>
  </si>
  <si>
    <t>02696221000171</t>
  </si>
  <si>
    <t>WAGNER JOSE DE ANDRADE</t>
  </si>
  <si>
    <t>wa47552@gmail.com</t>
  </si>
  <si>
    <t>52102300821</t>
  </si>
  <si>
    <t>Promoção de vendas</t>
  </si>
  <si>
    <t>W J DE ANDRADE</t>
  </si>
  <si>
    <t>15120838000196</t>
  </si>
  <si>
    <t>JASON MENDES DE SOUSA FILHO</t>
  </si>
  <si>
    <t>barbara_vitcr@hotmail.com</t>
  </si>
  <si>
    <t>52800732491</t>
  </si>
  <si>
    <t>MERCATOP DISTRIBUIDORA LTDA</t>
  </si>
  <si>
    <t>LUCYWEINER NEIVA PONTE</t>
  </si>
  <si>
    <t>ABADIANIA</t>
  </si>
  <si>
    <t>Comércio atacadista de alimentos para animais</t>
  </si>
  <si>
    <t>13307495000148</t>
  </si>
  <si>
    <t>FRUTUOSO ALVES DA ROCHA</t>
  </si>
  <si>
    <t>Levcredcorrespondente@hotmail.com</t>
  </si>
  <si>
    <t>52202904779</t>
  </si>
  <si>
    <t>Correspondentes de instituições financeiras</t>
  </si>
  <si>
    <t>D F SERVICOS LTDA</t>
  </si>
  <si>
    <t>15592526000185</t>
  </si>
  <si>
    <t>CLOVIS ALVES BARBOSA</t>
  </si>
  <si>
    <t>sol.construcoes@yahoo.com.br</t>
  </si>
  <si>
    <t>52203087383</t>
  </si>
  <si>
    <t>Obras de terraplenagem</t>
  </si>
  <si>
    <t>SOL CONSTRUCOES E TRANSPORTES LTDA</t>
  </si>
  <si>
    <t>Serviços de engenharia</t>
  </si>
  <si>
    <t>Comércio varejista de móveis</t>
  </si>
  <si>
    <t>09257381000163</t>
  </si>
  <si>
    <t>MAURO MARTINS</t>
  </si>
  <si>
    <t>pedrina@usimaq.com</t>
  </si>
  <si>
    <t>52081071540</t>
  </si>
  <si>
    <t>Fabricação de outras máquinas e equipamentos de uso geral não especificados anteriormente, peças e acessórios</t>
  </si>
  <si>
    <t>S.J.M. - MAQUINAS LTDA</t>
  </si>
  <si>
    <t>Serviços advocatícios</t>
  </si>
  <si>
    <t>Comércio varejista de bebidas</t>
  </si>
  <si>
    <t>24528137100</t>
  </si>
  <si>
    <t>Aluguel de imóveis próprios</t>
  </si>
  <si>
    <t>LINDAMARQUES LIMA DA SILVA OLIVEIRA</t>
  </si>
  <si>
    <t>linda-oliver@hotmail.com</t>
  </si>
  <si>
    <t>Comércio varejista de gás liqüefeito de petróleo (GLP)</t>
  </si>
  <si>
    <t>URUANA</t>
  </si>
  <si>
    <t>00353416000193</t>
  </si>
  <si>
    <t>WANESSA FIDELIS DE OLIVEIRA</t>
  </si>
  <si>
    <t>ceramicacenabra@hotmail.com</t>
  </si>
  <si>
    <t>52201205397</t>
  </si>
  <si>
    <t>Fabricação de artefatos de cerâmica e barro cozido para uso na construção, exceto azulejos e pisos</t>
  </si>
  <si>
    <t>CERAMICA CENABRA LTDA</t>
  </si>
  <si>
    <t>13144387000100</t>
  </si>
  <si>
    <t>JULIANO SOARES BRANQUINHO</t>
  </si>
  <si>
    <t>julianosoaresbranquinho39@gmail.com</t>
  </si>
  <si>
    <t>JC ESTOFADOS LTDA</t>
  </si>
  <si>
    <t>17873265000105</t>
  </si>
  <si>
    <t>norke_@hotmail.com</t>
  </si>
  <si>
    <t>52203203642</t>
  </si>
  <si>
    <t>Casas lotéricas</t>
  </si>
  <si>
    <t>LOTERICA PEDRINHO PORTO RICO - JAIARA LTDA</t>
  </si>
  <si>
    <t>18467652000104</t>
  </si>
  <si>
    <t>JALNER JOSE GOMES SOARES</t>
  </si>
  <si>
    <t>masterar2013@hotmail.com</t>
  </si>
  <si>
    <t>52203244438</t>
  </si>
  <si>
    <t>Comércio varejista especializado de eletrodomésticos e equipamentos de áudio e vídeo</t>
  </si>
  <si>
    <t>MASTER AR CONDICIONADO LTDA</t>
  </si>
  <si>
    <t>Instalação de máquinas e equipamentos industriais</t>
  </si>
  <si>
    <t>17922625000103</t>
  </si>
  <si>
    <t>CINTIA MARIA FERREIRA MAIA</t>
  </si>
  <si>
    <t>cntiamariapsi@yahoo.com.br</t>
  </si>
  <si>
    <t>52203207044</t>
  </si>
  <si>
    <t>Obras de urbanização - ruas, praças e calçadas</t>
  </si>
  <si>
    <t>SANTANA CONSTRUCOES E SERVICOS LTDA</t>
  </si>
  <si>
    <t>18775013000106</t>
  </si>
  <si>
    <t>RAFAEL SOUZA CARDOSO</t>
  </si>
  <si>
    <t>moema.radial@gmail.com</t>
  </si>
  <si>
    <t>52203262975</t>
  </si>
  <si>
    <t>Comércio a varejo de automóveis, camionetas e utilitários usados</t>
  </si>
  <si>
    <t>RADIAL CONSIGNACOES LTDA</t>
  </si>
  <si>
    <t>rhemamoveis@hotmail.com</t>
  </si>
  <si>
    <t>Transporte rodoviário de carga, exceto produtos perigosos e mudanças, intermunicipal, interestadual e internacional</t>
  </si>
  <si>
    <t xml:space="preserve">BEATRIZ ELIAS EL JALISS </t>
  </si>
  <si>
    <t>19255194000102</t>
  </si>
  <si>
    <t>GILVALTINO MENDES DA LUZ</t>
  </si>
  <si>
    <t>dentecerto@hotmail.com</t>
  </si>
  <si>
    <t>52203289474</t>
  </si>
  <si>
    <t>Atividade odontológica</t>
  </si>
  <si>
    <t>CLINICA ODONTOLOGICA DENTE CERTO LTDA</t>
  </si>
  <si>
    <t>ROGERIO ALVES DIAS</t>
  </si>
  <si>
    <t>ONAIDE SILVA SANTILLO</t>
  </si>
  <si>
    <t>15709517000121</t>
  </si>
  <si>
    <t>LEANDRO CARDOSO DUARTE</t>
  </si>
  <si>
    <t>duarteleandro@yahoo.com.br</t>
  </si>
  <si>
    <t>52800860431</t>
  </si>
  <si>
    <t>Instalação e manutenção elétrica</t>
  </si>
  <si>
    <t>MEGATON SERVICOS LTDA</t>
  </si>
  <si>
    <t>03433540632</t>
  </si>
  <si>
    <t>URUACU</t>
  </si>
  <si>
    <t>NIQUELANDIA</t>
  </si>
  <si>
    <t>12410870000118</t>
  </si>
  <si>
    <t>CAROLINE OLIVEIRA RIBEIRO</t>
  </si>
  <si>
    <t>carolineori81@gmail.com</t>
  </si>
  <si>
    <t>Ensino de idiomas</t>
  </si>
  <si>
    <t>RIBEIRO CURSOS DE IDIOMAS LTDA</t>
  </si>
  <si>
    <t>Comércio varejista de produtos farmacêuticos, sem manipulação de fórmulas</t>
  </si>
  <si>
    <t>07246086000267</t>
  </si>
  <si>
    <t>ALBERTINO DE PAULA SILVEIRA FILHO</t>
  </si>
  <si>
    <t>coimmar@yahoo.com.br</t>
  </si>
  <si>
    <t>52900685363</t>
  </si>
  <si>
    <t>Fabricação de esquadrias de madeira e de peças de madeira para instalações industriais e comerciais</t>
  </si>
  <si>
    <t>SILVEIRA &amp; CANEDO LTDA</t>
  </si>
  <si>
    <t>11760778000115</t>
  </si>
  <si>
    <t>NELSON XAVIER DA SILVA SANTOS</t>
  </si>
  <si>
    <t>nelsonxavierdasilvasantos@gmail.com</t>
  </si>
  <si>
    <t>52103211627</t>
  </si>
  <si>
    <t>Serviços de prótese dentária</t>
  </si>
  <si>
    <t>MARCO ANTONIO CARVALHO NETO</t>
  </si>
  <si>
    <t>Serviços combinados de escritório e apoio administrativo</t>
  </si>
  <si>
    <t>RUBIATABA</t>
  </si>
  <si>
    <t>PIRENOPOLIS</t>
  </si>
  <si>
    <t>11955213000193</t>
  </si>
  <si>
    <t>ccfjfar@yahoo.com.br</t>
  </si>
  <si>
    <t>52202792971</t>
  </si>
  <si>
    <t>Representantes comerciais e agentes do comércio de veículos automotores</t>
  </si>
  <si>
    <t>CAIRO CEZAR FERNANDES &amp; CIA LTDA</t>
  </si>
  <si>
    <t>antonionfilho50@gmail.com</t>
  </si>
  <si>
    <t>22801319000159</t>
  </si>
  <si>
    <t>MARIO CELSO DE ALMEIDA FERNANDES</t>
  </si>
  <si>
    <t>anapedrasgo@hotmail.com</t>
  </si>
  <si>
    <t>52203474484</t>
  </si>
  <si>
    <t>Comércio varejista de pedras para revestimento</t>
  </si>
  <si>
    <t>ANA PEDRAS LTDA</t>
  </si>
  <si>
    <t>CRISTIANE ALVES MOUSSA</t>
  </si>
  <si>
    <t>22633997000150</t>
  </si>
  <si>
    <t>ADAHYL RODRIGUES CHAVEIRO</t>
  </si>
  <si>
    <t>advadahylchaveiro@hotmail.com</t>
  </si>
  <si>
    <t>1633</t>
  </si>
  <si>
    <t>ADAHYL CHAVEIRO ADVOGADOS ASSOCIADOS</t>
  </si>
  <si>
    <t>JEAN PAULO RORIZ DA COSTA</t>
  </si>
  <si>
    <t>Atividade médica ambulatorial restrita a consultas</t>
  </si>
  <si>
    <t>42660254168</t>
  </si>
  <si>
    <t>MOEMA SOUZA</t>
  </si>
  <si>
    <t>77049063134</t>
  </si>
  <si>
    <t>VINICIUS TORQUATO VASCONCELOS</t>
  </si>
  <si>
    <t>26909655000170</t>
  </si>
  <si>
    <t>RENATO RODRIGUES CARVALHO</t>
  </si>
  <si>
    <t>rvncarvalho@hotmail.com</t>
  </si>
  <si>
    <t>52200902329</t>
  </si>
  <si>
    <t>R. CARVALHO ASSESSORIA LTDA</t>
  </si>
  <si>
    <t>IDELFONSO ABADIA SILVA</t>
  </si>
  <si>
    <t>14638098000111</t>
  </si>
  <si>
    <t>FRANCIVAN VANDERLEI DE OLIVEIRA</t>
  </si>
  <si>
    <t>lccimentos@hotmail.com</t>
  </si>
  <si>
    <t>52600202898</t>
  </si>
  <si>
    <t>Transporte rodoviário de carga, exceto produtos perigosos e mudanças, municipal</t>
  </si>
  <si>
    <t>POLO SERVICOS DE TRANSPORTES LTDA</t>
  </si>
  <si>
    <t>Atividades de atenção ambulatorial não especificadas anteriormente</t>
  </si>
  <si>
    <t>89035127153</t>
  </si>
  <si>
    <t>Atividades de intermediação e agenciamento de serviços e negócios em geral, exceto imobiliários</t>
  </si>
  <si>
    <t>20835879000107</t>
  </si>
  <si>
    <t>BRUNO HENRIQUE FRANCA BRAGA</t>
  </si>
  <si>
    <t>ambientalarena@gmail.com</t>
  </si>
  <si>
    <t>52600119524</t>
  </si>
  <si>
    <t>B. N. SERVICOS EMPRESARIAIS LTDA</t>
  </si>
  <si>
    <t>23595186000174</t>
  </si>
  <si>
    <t>FERNANDO RODRIGUES FILHO</t>
  </si>
  <si>
    <t>premierfogos@hotmail.com</t>
  </si>
  <si>
    <t>52203505673</t>
  </si>
  <si>
    <t>Comércio varejista de fogos de artifício e artigos pirotécnicos</t>
  </si>
  <si>
    <t>PREMIER FOGOS LTDA</t>
  </si>
  <si>
    <t>Compra e venda de imóveis próprios</t>
  </si>
  <si>
    <t>24415962000170</t>
  </si>
  <si>
    <t>ANDRÉ SILVA DE OLIVEIRA</t>
  </si>
  <si>
    <t>eng.andreso@gmail.com</t>
  </si>
  <si>
    <t>52203537672</t>
  </si>
  <si>
    <t>A S OLIVEIRA ENGENHARIA LTDA</t>
  </si>
  <si>
    <t>24739277000107</t>
  </si>
  <si>
    <t xml:space="preserve">GUILHERME HENRIQUE DE FREITAS </t>
  </si>
  <si>
    <t>grupoennergia@gmail.com</t>
  </si>
  <si>
    <t>52203550121</t>
  </si>
  <si>
    <t>Atividades de condicionamento físico</t>
  </si>
  <si>
    <t>FREITAS &amp; NASCIMENTO LTDA</t>
  </si>
  <si>
    <t>LUDMILLA SOUZA LIMA</t>
  </si>
  <si>
    <t>ludmilla.lima@outlook.com</t>
  </si>
  <si>
    <t>GLEYCE KELLY BORGES DA SILVA</t>
  </si>
  <si>
    <t>05589400000106</t>
  </si>
  <si>
    <t>FULVIA QUEIROZ OLIVEIRA</t>
  </si>
  <si>
    <t>adv.fulviaqueiroz@gmail.com</t>
  </si>
  <si>
    <t>52103702850</t>
  </si>
  <si>
    <t>Testes e análises técnicas</t>
  </si>
  <si>
    <t>LEMOS E OLIVEIRA CONSTRUCAO E MONTAGEM INDUSTRIAL LTDA</t>
  </si>
  <si>
    <t>25064589000112</t>
  </si>
  <si>
    <t>ANA LUISA MONTSERRAT MELO CUNHA</t>
  </si>
  <si>
    <t>comerciomontserrat@gmail.com</t>
  </si>
  <si>
    <t>52203563151</t>
  </si>
  <si>
    <t>Comércio varejista de laticínios e frios</t>
  </si>
  <si>
    <t>MONTSERRAT COMERCIO E SERVICOS LTDA</t>
  </si>
  <si>
    <t>21101502000189</t>
  </si>
  <si>
    <t>KELLY PAULA LAZARO NUNES</t>
  </si>
  <si>
    <t>produtosformosa@hotmail.com</t>
  </si>
  <si>
    <t>52600129007</t>
  </si>
  <si>
    <t>Fabricação de produtos de padaria e confeitaria com predominância de produção própria</t>
  </si>
  <si>
    <t>FORMOSA PANIFICACAO LTDA</t>
  </si>
  <si>
    <t>25237578000197</t>
  </si>
  <si>
    <t>KAUENIO CAETANO SARUBBY NASCIMENTO</t>
  </si>
  <si>
    <t>drkauenio@outlook.com</t>
  </si>
  <si>
    <t>52600294865</t>
  </si>
  <si>
    <t>SAO CAETANO SERVICOS MEDICOS LTDA</t>
  </si>
  <si>
    <t>ALEXANIA</t>
  </si>
  <si>
    <t>foscria@hotmail.com</t>
  </si>
  <si>
    <t>69901112168</t>
  </si>
  <si>
    <t>03888118115</t>
  </si>
  <si>
    <t>GILBERTO LONGHI FILHO</t>
  </si>
  <si>
    <t>17504870000109</t>
  </si>
  <si>
    <t>GEORGE FERNANDES DE MEDEIROS</t>
  </si>
  <si>
    <t>sheilamedeiros9980@gmail.com</t>
  </si>
  <si>
    <t>52801092721</t>
  </si>
  <si>
    <t>G F MEDEIROS TRANSPORTES</t>
  </si>
  <si>
    <t>20722205000198</t>
  </si>
  <si>
    <t>52204629881</t>
  </si>
  <si>
    <t>Ensino de arte e cultura não especificado anteriormente</t>
  </si>
  <si>
    <t>PLIE STUDIO DE DANCA LTDA</t>
  </si>
  <si>
    <t>27243364000159</t>
  </si>
  <si>
    <t>FREDERICK CANDIDO GOMES</t>
  </si>
  <si>
    <t>empresafcgomes@gmail.com</t>
  </si>
  <si>
    <t>52600361091</t>
  </si>
  <si>
    <t>FCGOMES SERVICOS MEDICOS LTDA</t>
  </si>
  <si>
    <t>Fabricação de águas envasadas</t>
  </si>
  <si>
    <t>Cultivo de soja</t>
  </si>
  <si>
    <t>28604318000109</t>
  </si>
  <si>
    <t>financeiro1@promidiadigital.com.br</t>
  </si>
  <si>
    <t>52204618102</t>
  </si>
  <si>
    <t>Agências de publicidade</t>
  </si>
  <si>
    <t>PROMIDIA DIGITAL LTDA</t>
  </si>
  <si>
    <t>29413500000137</t>
  </si>
  <si>
    <t>AECIO ANTONIO DE MATOS RESENDE</t>
  </si>
  <si>
    <t>julianarfmatos85@outlook.com</t>
  </si>
  <si>
    <t>52104751218</t>
  </si>
  <si>
    <t>A A DE MATOS RESENDE - SUPERMERCADO SANTO ANTONIO</t>
  </si>
  <si>
    <t>19163109000178</t>
  </si>
  <si>
    <t>ADAO CAMILO SOARES</t>
  </si>
  <si>
    <t>adaocsoares@gmail.com</t>
  </si>
  <si>
    <t>Treinamento em desenvolvimento profissional e gerencial</t>
  </si>
  <si>
    <t>AC SOARES CONSULTORIA E DESENVOLVIMENTO EMPRESARIAL LTDA</t>
  </si>
  <si>
    <t>30635357000107</t>
  </si>
  <si>
    <t>LUIZ HUMBERTO SANDRE</t>
  </si>
  <si>
    <t>luiztoribas@gmail.com</t>
  </si>
  <si>
    <t>52104778426</t>
  </si>
  <si>
    <t>TORIBAS RESTAURANTE LTDA</t>
  </si>
  <si>
    <t>wagner_jmkf@hotmail.com</t>
  </si>
  <si>
    <t>30832593000113</t>
  </si>
  <si>
    <t>ROGERIO DE ALENCASTRO COSTA</t>
  </si>
  <si>
    <t>portoanniele@gmail.com</t>
  </si>
  <si>
    <t>52204698700</t>
  </si>
  <si>
    <t>FACCIAL ODONTOLOGIA ESPECIALIZADA LTDA</t>
  </si>
  <si>
    <t>02770477000181</t>
  </si>
  <si>
    <t>DANIEL BARROS DA COSTA</t>
  </si>
  <si>
    <t>atendimento@gsmdmservice.com</t>
  </si>
  <si>
    <t>52200301571</t>
  </si>
  <si>
    <t>Manutenção e reparação de aparelhos e instrumentos de medida, teste e controle</t>
  </si>
  <si>
    <t>TRINDADE</t>
  </si>
  <si>
    <t>BARROS E MENDES LTDA</t>
  </si>
  <si>
    <t>31420247000190</t>
  </si>
  <si>
    <t>LEANDRO SARDINHA DE LISBOA</t>
  </si>
  <si>
    <t>advocacialsl@gmail.com</t>
  </si>
  <si>
    <t>LEANDRO SARDINHA DE LISBOA SOCIEDADE INDIVIDUAL DE ADVOCACIA</t>
  </si>
  <si>
    <t>L L DA SILVA OLIVEIRA &amp; CIA LTDA</t>
  </si>
  <si>
    <t>HELDER DE SOUZA LINO</t>
  </si>
  <si>
    <t>RIALMA</t>
  </si>
  <si>
    <t>H S L GAS LTDA</t>
  </si>
  <si>
    <t>CERES</t>
  </si>
  <si>
    <t>31284081000122</t>
  </si>
  <si>
    <t>institutogean@gmail.com</t>
  </si>
  <si>
    <t>52204712265</t>
  </si>
  <si>
    <t>INSTITUTO GEAN LTDA</t>
  </si>
  <si>
    <t>31500145000185</t>
  </si>
  <si>
    <t>JANDER MARCOS DE JESUS</t>
  </si>
  <si>
    <t>rh@drogariasnacional.com.br</t>
  </si>
  <si>
    <t>52600712578</t>
  </si>
  <si>
    <t>DROGARIAS NACIONAL LTDA</t>
  </si>
  <si>
    <t>32126649000140</t>
  </si>
  <si>
    <t>NOZIMARY CARNEIRO FERREIRA</t>
  </si>
  <si>
    <t>nozimaryf@hotmail.com</t>
  </si>
  <si>
    <t>52600742221</t>
  </si>
  <si>
    <t>ELLO ENGENHARIA E SERVICOS LTDA</t>
  </si>
  <si>
    <t>13043546000171</t>
  </si>
  <si>
    <t>JONATHAN FERREIRA DE JESUS</t>
  </si>
  <si>
    <t>DROGARIAS NACIONAL JUNDIAI LTDA</t>
  </si>
  <si>
    <t>32918426000115</t>
  </si>
  <si>
    <t>cintia.santanaconstrucoes@gmail.com</t>
  </si>
  <si>
    <t>MAQUINAS POR PERTO LTDA</t>
  </si>
  <si>
    <t>Atividades de contabilidade</t>
  </si>
  <si>
    <t>Atividades de consultoria em gestão empresarial, exceto consultoria técnica específica</t>
  </si>
  <si>
    <t>18608090000163</t>
  </si>
  <si>
    <t>WERLAN VIEIRA DE MOURA</t>
  </si>
  <si>
    <t>anapaulanobel1@gmail.com</t>
  </si>
  <si>
    <t>52204874478</t>
  </si>
  <si>
    <t>Produção de espetáculos de rodeios, vaquejadas e similares</t>
  </si>
  <si>
    <t>WVM ENERGIA E EVENTOS LTDA</t>
  </si>
  <si>
    <t>Fabricação de alimentos para animais</t>
  </si>
  <si>
    <t>33649574000144</t>
  </si>
  <si>
    <t>mateus@cmsadvogados.adv.br</t>
  </si>
  <si>
    <t>3.216 OAB-GO</t>
  </si>
  <si>
    <t>CARVALHO, MOREIRA &amp; SANDRE ADVOGADOS ASSOCIADOS</t>
  </si>
  <si>
    <t>34058026000102</t>
  </si>
  <si>
    <t>52204796621</t>
  </si>
  <si>
    <t>RADIAL VEICULOS LTDA</t>
  </si>
  <si>
    <t>cleo_mfagundes@hotmail.com</t>
  </si>
  <si>
    <t>34324600000127</t>
  </si>
  <si>
    <t>PEDRO FONSECA RODRIGUES</t>
  </si>
  <si>
    <t>graanalimentos@hotmail.com</t>
  </si>
  <si>
    <t>52204804861</t>
  </si>
  <si>
    <t>GRAAN ALIMENTOS LTDA</t>
  </si>
  <si>
    <t>24742881000184</t>
  </si>
  <si>
    <t>RICARDO JOSÉ DA SILVA</t>
  </si>
  <si>
    <t>drogaria_atual@outlook.com</t>
  </si>
  <si>
    <t>52203550318</t>
  </si>
  <si>
    <t>DROGARIA ATUAL LTDA</t>
  </si>
  <si>
    <t>34589805000134</t>
  </si>
  <si>
    <t>KAUANA CAETANO SARUBBY DO NASCIMENTO</t>
  </si>
  <si>
    <t>kauanacsn@gmail.com</t>
  </si>
  <si>
    <t>MASTOLOGIA CAETANO LTDA</t>
  </si>
  <si>
    <t>34919927000141</t>
  </si>
  <si>
    <t>EDUARDO ALVES DE REZENDE</t>
  </si>
  <si>
    <t>eduardoveiculosanapolis@gmail.com</t>
  </si>
  <si>
    <t>52600868233</t>
  </si>
  <si>
    <t>EDUARDO VEICULOS LTDA</t>
  </si>
  <si>
    <t>35114102000112</t>
  </si>
  <si>
    <t>52204828956</t>
  </si>
  <si>
    <t>REZENDE EMPREENDIMENTOS LTDA</t>
  </si>
  <si>
    <t>Comércio varejista de artigos de colchoaria</t>
  </si>
  <si>
    <t>31676210000128</t>
  </si>
  <si>
    <t>ANA PATRICIA BARROS DE SOUSA</t>
  </si>
  <si>
    <t>Psmisth@gmail.com</t>
  </si>
  <si>
    <t>CORPO &amp; SAUDE FIRFLEX COLCHOARIA LTDA</t>
  </si>
  <si>
    <t>Comércio atacadista de água mineral</t>
  </si>
  <si>
    <t>35863681000104</t>
  </si>
  <si>
    <t>52204855619</t>
  </si>
  <si>
    <t>CENTRO OESTE GAS III LTDA</t>
  </si>
  <si>
    <t>02997350000108</t>
  </si>
  <si>
    <t>IGOR FERREIRA DE JESUS</t>
  </si>
  <si>
    <t>52600286382</t>
  </si>
  <si>
    <t>DROGARIA FERREIRA E JESUS LTDA</t>
  </si>
  <si>
    <t>26145315000110</t>
  </si>
  <si>
    <t>52103709587</t>
  </si>
  <si>
    <t>DROGARIAS ULTRAPOPULAR JAIARA LTDA</t>
  </si>
  <si>
    <t>07956060000121</t>
  </si>
  <si>
    <t>SONIA FERREIRA DIAS DE JESUS</t>
  </si>
  <si>
    <t>DROGARIAS NACIONAL PEDRO LUDOVICO LTDA</t>
  </si>
  <si>
    <t>00350542120</t>
  </si>
  <si>
    <t>85212709172</t>
  </si>
  <si>
    <t>ANA PAULA MOREIRA CANDIDA MOURA</t>
  </si>
  <si>
    <t>36286717000199</t>
  </si>
  <si>
    <t>FERNANDO WILSON DA SILVA</t>
  </si>
  <si>
    <t>cintia@torneadoraanapolis.com.br</t>
  </si>
  <si>
    <t>Serviços de usinagem, tornearia e solda</t>
  </si>
  <si>
    <t>TORNEADORA ANAPOLIS LTDA</t>
  </si>
  <si>
    <t>16534727153</t>
  </si>
  <si>
    <t>15491548000159</t>
  </si>
  <si>
    <t>ELIZABETH LAMIM DE OLIVEIRA</t>
  </si>
  <si>
    <t>52203382491</t>
  </si>
  <si>
    <t>MIX GAS COMERCIAL LTDA</t>
  </si>
  <si>
    <t>35438325000135</t>
  </si>
  <si>
    <t>52204839052</t>
  </si>
  <si>
    <t>WAPHI EMPREENDIMENTOS LTDA</t>
  </si>
  <si>
    <t>37365154000197</t>
  </si>
  <si>
    <t>Serviços de agronomia e de consultoria às atividades agrícolas e pecuárias</t>
  </si>
  <si>
    <t>AGROCERRADO RURAL PROJETOS LTDA</t>
  </si>
  <si>
    <t>Casas de festas e eventos</t>
  </si>
  <si>
    <t>10259622000192</t>
  </si>
  <si>
    <t>10.460.888-9</t>
  </si>
  <si>
    <t>fernando@torneadorafermax.com.br</t>
  </si>
  <si>
    <t>TORNEADORA FERMAX LTDA</t>
  </si>
  <si>
    <t>38135574000140</t>
  </si>
  <si>
    <t>moussaengarq1@gmail.com</t>
  </si>
  <si>
    <t>52204965899</t>
  </si>
  <si>
    <t>MOUSSA CONSTRUTORA LTDA</t>
  </si>
  <si>
    <t>39379724000123</t>
  </si>
  <si>
    <t>TAINA FONSECA BRITTES MONTIBELLER</t>
  </si>
  <si>
    <t>taina.brittes1994@gmail.com</t>
  </si>
  <si>
    <t>Comércio varejista de outros produtos não especificados anteriormente</t>
  </si>
  <si>
    <t>CORDAS MONTIBELLER LTDA</t>
  </si>
  <si>
    <t>38277516000150</t>
  </si>
  <si>
    <t>ALESSANDRO DA SILVA ANDRADE</t>
  </si>
  <si>
    <t>asandrade2@hotmail.com</t>
  </si>
  <si>
    <t>ALESSANDRO ANDRADE SOCIEDADE INDIVIDUAL DE ADVOCACIA</t>
  </si>
  <si>
    <t>23677415000108</t>
  </si>
  <si>
    <t>drrogerioadias@gmail.com</t>
  </si>
  <si>
    <t>52203508702</t>
  </si>
  <si>
    <t>ROGERIO A DIAS &amp; CIA LTDA</t>
  </si>
  <si>
    <t>Comércio varejista de produtos alimentícios em geral ou especializado em produtos alimentícios não especificados anteriormente</t>
  </si>
  <si>
    <t>82032939134</t>
  </si>
  <si>
    <t>WALDIR JOSE DA SILVA</t>
  </si>
  <si>
    <t>waldirdasilva1959@gmail.com</t>
  </si>
  <si>
    <t>30597276000160</t>
  </si>
  <si>
    <t>vendas@viasolar.net.br</t>
  </si>
  <si>
    <t>52205079574</t>
  </si>
  <si>
    <t>VIA SOLAR COMERCIO E SERVICOS LTDA</t>
  </si>
  <si>
    <t>41492247000150</t>
  </si>
  <si>
    <t>52205143141</t>
  </si>
  <si>
    <t>BDA COMERCIO E INTERMEDIACAO DE VEICULOS LTDA</t>
  </si>
  <si>
    <t>42160692000185</t>
  </si>
  <si>
    <t>ISMAEL FERNANDES DA SILVA</t>
  </si>
  <si>
    <t>zionclinic.contabil@gmail.com</t>
  </si>
  <si>
    <t>52205193687</t>
  </si>
  <si>
    <t>ZION DENTAL CLINIC LTDA</t>
  </si>
  <si>
    <t>42810759000180</t>
  </si>
  <si>
    <t>LIVIA MARIA LONGHI</t>
  </si>
  <si>
    <t>livia_longhi@hotmail.com</t>
  </si>
  <si>
    <t>LIVIA M LONGHI CARISIO</t>
  </si>
  <si>
    <t>24418174000137</t>
  </si>
  <si>
    <t>ANTONIO MARCOS ALVES FONSECA</t>
  </si>
  <si>
    <t>antoniomafonseca16@gmail.com</t>
  </si>
  <si>
    <t>52205307763</t>
  </si>
  <si>
    <t>SEARCH OF COMERCIAL LTDA</t>
  </si>
  <si>
    <t>35067703000111</t>
  </si>
  <si>
    <t>MARCOS DAVI OLIVEIRA DE SOUZA</t>
  </si>
  <si>
    <t>a2solucoes.contato@gmail.com</t>
  </si>
  <si>
    <t>52104856605</t>
  </si>
  <si>
    <t>Preparação de documentos e serviços especializados de apoio administrativo não especificados anteriormente</t>
  </si>
  <si>
    <t>A2 SOLUCOES E PARTICIPACOES LTDA</t>
  </si>
  <si>
    <t>08714427000163</t>
  </si>
  <si>
    <t>HELCIO DA SILVA TEIXEIRA</t>
  </si>
  <si>
    <t>hstdom@hotmail.com</t>
  </si>
  <si>
    <t>52202378767</t>
  </si>
  <si>
    <t>Outras atividades de serviços prestados principalmente às empresas não especificadas anteriormente</t>
  </si>
  <si>
    <t>HST REPRESENTACOES LTDA</t>
  </si>
  <si>
    <t>Produção musical</t>
  </si>
  <si>
    <t>73511196191</t>
  </si>
  <si>
    <t>10608734000373</t>
  </si>
  <si>
    <t>WENDELL PIRES DA SILVA</t>
  </si>
  <si>
    <t>Locação de mão-de-obra temporária</t>
  </si>
  <si>
    <t>RIO BRANCO</t>
  </si>
  <si>
    <t>GREEN AMBIENTAL LTDA</t>
  </si>
  <si>
    <t>10608734000101</t>
  </si>
  <si>
    <t>financeiro@greensolucoesambientais.com.br</t>
  </si>
  <si>
    <t>52600177567</t>
  </si>
  <si>
    <t>VALPARAISO DE GOIAS</t>
  </si>
  <si>
    <t>10608734000292</t>
  </si>
  <si>
    <t>rh01@greensolucoesambientais.com.br</t>
  </si>
  <si>
    <t>Coleta de resíduos não-perigosos</t>
  </si>
  <si>
    <t>GREEN AMBIENTAL EIRELI</t>
  </si>
  <si>
    <t>45683176000123</t>
  </si>
  <si>
    <t>MARIA ETERNA DE JESUS</t>
  </si>
  <si>
    <t>52205538510</t>
  </si>
  <si>
    <t>MOZARLANDIA</t>
  </si>
  <si>
    <t>NUNES GAS LTDA</t>
  </si>
  <si>
    <t>35157649000103</t>
  </si>
  <si>
    <t>DAVI DE SOUZA SILVA TIBURCIO</t>
  </si>
  <si>
    <t>DAVI@SILVATIBURCIO.ADV.BR</t>
  </si>
  <si>
    <t>BELO HORIZONTE</t>
  </si>
  <si>
    <t>SILVA TIBURCIO SOCIEDADE INDIVIDUAL DE ADVOCACIA</t>
  </si>
  <si>
    <t>23444738000143</t>
  </si>
  <si>
    <t>CASSIANO COSTA SILVA FERREIRA</t>
  </si>
  <si>
    <t>drcassianopereira@gmail.com</t>
  </si>
  <si>
    <t>52600219014</t>
  </si>
  <si>
    <t>REABILITAFACE SERVICOS ODONTOLOGICOS LTDA</t>
  </si>
  <si>
    <t>46038083000109</t>
  </si>
  <si>
    <t>SINVAL JUNIO PIRES DE ALMEIDA</t>
  </si>
  <si>
    <t>lanaroriz@hotmail.com</t>
  </si>
  <si>
    <t>52205577680</t>
  </si>
  <si>
    <t>LA TRATTORIA DI LANA LTDA</t>
  </si>
  <si>
    <t>45983155000123</t>
  </si>
  <si>
    <t>RENATA VITORINO NASCIMENTO CARVALHO</t>
  </si>
  <si>
    <t>52205571720</t>
  </si>
  <si>
    <t>Ensino de esportes</t>
  </si>
  <si>
    <t>NADO LIVRE LTDA</t>
  </si>
  <si>
    <t>46149398000123</t>
  </si>
  <si>
    <t>BENTO ALMIR CAETANO</t>
  </si>
  <si>
    <t>3tbproducoesartisticasltda@gmail.com</t>
  </si>
  <si>
    <t>52205587456</t>
  </si>
  <si>
    <t>3TB PRODUCOES ARTISTICAS LTDA</t>
  </si>
  <si>
    <t>46484292000186</t>
  </si>
  <si>
    <t>LARA FERREIRA FERNANDES</t>
  </si>
  <si>
    <t>52205622448</t>
  </si>
  <si>
    <t>MARMORANA LTDA</t>
  </si>
  <si>
    <t>46343502000116</t>
  </si>
  <si>
    <t>RAQUEL RODRIGUES DE CARVALHO</t>
  </si>
  <si>
    <t>raquelrcarvalho@outlook.com</t>
  </si>
  <si>
    <t>52205606825</t>
  </si>
  <si>
    <t>LOC E LOG TRANSPORTES LTDA</t>
  </si>
  <si>
    <t>46510176000194</t>
  </si>
  <si>
    <t>MARIA GORETH GONÇALVES DE RESENDE</t>
  </si>
  <si>
    <t>52205623398</t>
  </si>
  <si>
    <t>TW SAUDE MENTAL LTDA</t>
  </si>
  <si>
    <t>46559074000163</t>
  </si>
  <si>
    <t>MAURICIO DE SOUSA OLIVEIRA</t>
  </si>
  <si>
    <t>mauriciosousa11@gmail.com</t>
  </si>
  <si>
    <t>API SAFE CONSULTORIA E SERVICOS LTDA</t>
  </si>
  <si>
    <t>46901200000116</t>
  </si>
  <si>
    <t>52205663977</t>
  </si>
  <si>
    <t>Aluguel de palcos, coberturas e outras estruturas de uso temporário, exceto andaimes</t>
  </si>
  <si>
    <t>NOBEL LOCACOES E SERVICOS LTDA</t>
  </si>
  <si>
    <t>52531259000162</t>
  </si>
  <si>
    <t>JOSILENE DA SILVA SANTOS AGUIAR</t>
  </si>
  <si>
    <t>contato.tigeradesivos@gmail.com</t>
  </si>
  <si>
    <t>52206239397</t>
  </si>
  <si>
    <t>Impressão de material para outros usos</t>
  </si>
  <si>
    <t>TIGER ADESIVOS LTDA</t>
  </si>
  <si>
    <t>46758047000110</t>
  </si>
  <si>
    <t>KARLA ALLINE GARCEZ COUTO</t>
  </si>
  <si>
    <t>casaanhanguera@outlook.com</t>
  </si>
  <si>
    <t>52205649168</t>
  </si>
  <si>
    <t>KAG AGROPECUARIA LTDA</t>
  </si>
  <si>
    <t>46757883000180</t>
  </si>
  <si>
    <t xml:space="preserve">TIONEY GUSTAVO LOPES GONDIM </t>
  </si>
  <si>
    <t>gustavo.gondim@icloud.com</t>
  </si>
  <si>
    <t>52205649141</t>
  </si>
  <si>
    <t>GONDIM E GONDIM LTDA</t>
  </si>
  <si>
    <t>46934850000168</t>
  </si>
  <si>
    <t>52205667051</t>
  </si>
  <si>
    <t>FORMOSA PRESTACAO DE SERVICOS LTDA</t>
  </si>
  <si>
    <t>47680967000125</t>
  </si>
  <si>
    <t>LUIZ CLAUDIO LEDRA</t>
  </si>
  <si>
    <t>lajesanapolina@hotmail.com</t>
  </si>
  <si>
    <t>52205742834</t>
  </si>
  <si>
    <t>Aluguel de outras máquinas e equipamentos comerciais e industriais não especificados anteriormente, sem operador</t>
  </si>
  <si>
    <t>LEDRA LOCACOES E SERVICOS LTDA</t>
  </si>
  <si>
    <t>47974051000188</t>
  </si>
  <si>
    <t>GISELLY DE SOUSA MELO</t>
  </si>
  <si>
    <t>52205772580</t>
  </si>
  <si>
    <t>GSM MANUTENCAO INDUSTRIAL LTDA</t>
  </si>
  <si>
    <t>48443136000100</t>
  </si>
  <si>
    <t>JULIA CARDOSO REZENDE</t>
  </si>
  <si>
    <t>52205821165</t>
  </si>
  <si>
    <t>EDUARDO PREMIUM LTDA</t>
  </si>
  <si>
    <t>46691352000131</t>
  </si>
  <si>
    <t>PEDRO HENRIQUE DE ALMEIDA BRITO</t>
  </si>
  <si>
    <t>lucas_andrade47@hotmail.com</t>
  </si>
  <si>
    <t>52205641523</t>
  </si>
  <si>
    <t>VILLA B ROUPAS E ACESSORIOS LTDA</t>
  </si>
  <si>
    <t>49327466000195</t>
  </si>
  <si>
    <t>MARCO AURELIO DA SILVA BUENO</t>
  </si>
  <si>
    <t>marcobueno_aurelio@hotmail.com</t>
  </si>
  <si>
    <t>52205909071</t>
  </si>
  <si>
    <t>MB CONSULTORIA AMBIENTAL LTDA</t>
  </si>
  <si>
    <t>49357720000106</t>
  </si>
  <si>
    <t>igorferreiradejesus0@gmail.com</t>
  </si>
  <si>
    <t>52205912438</t>
  </si>
  <si>
    <t>I F DE JESUS LTDA</t>
  </si>
  <si>
    <t>SUENYLZA CANDIDA DE JESUS MOREIRA</t>
  </si>
  <si>
    <t>21550795000181</t>
  </si>
  <si>
    <t>JASON SANTANA VIEIRA</t>
  </si>
  <si>
    <t>jvieira@venturaeng.com.br</t>
  </si>
  <si>
    <t>52600838474</t>
  </si>
  <si>
    <t>J S VIEIRA LTDA</t>
  </si>
  <si>
    <t>MARCO ANTONIO GALDEANO</t>
  </si>
  <si>
    <t>vivianseabra@hotmail.com</t>
  </si>
  <si>
    <t>49640086000106</t>
  </si>
  <si>
    <t>SAMUEL FERREIRA DAS DORES</t>
  </si>
  <si>
    <t>TIAGOBARCAFERR@HOTMAIL.COM</t>
  </si>
  <si>
    <t>52205942302</t>
  </si>
  <si>
    <t>PINGUIM ATACADO DE BEBIDAS LTDA</t>
  </si>
  <si>
    <t>77898354168</t>
  </si>
  <si>
    <t>49798461000140</t>
  </si>
  <si>
    <t>COMPRASTNZ@GMAIL.COM</t>
  </si>
  <si>
    <t>52205958276</t>
  </si>
  <si>
    <t>TINAZO AGRONEGOCIOS LTDA</t>
  </si>
  <si>
    <t>09075184000123</t>
  </si>
  <si>
    <t>VIVIANSEABRA@HOTMAIL.COM</t>
  </si>
  <si>
    <t>52202434861</t>
  </si>
  <si>
    <t>Atividades de estética e outros serviços de cuidados com a beleza</t>
  </si>
  <si>
    <t>M.A. GALDEANO &amp; CIA LTDA</t>
  </si>
  <si>
    <t>49763344000141</t>
  </si>
  <si>
    <t>52205954670</t>
  </si>
  <si>
    <t>Comércio varejista de animais vivos e de artigos e alimentos para animais de estimação</t>
  </si>
  <si>
    <t>GRAAN COMERCIAL LTDA</t>
  </si>
  <si>
    <t>49775697000161</t>
  </si>
  <si>
    <t>MARCIA GRACIELA GRACIA LEITE</t>
  </si>
  <si>
    <t>centralgas.crv@outlook.com</t>
  </si>
  <si>
    <t>52205955838</t>
  </si>
  <si>
    <t>CARMO DO RIO VERDE</t>
  </si>
  <si>
    <t>M G GRACIA LEITE LTDA</t>
  </si>
  <si>
    <t>50302692000109</t>
  </si>
  <si>
    <t>PEDRO HENRIQUE BALDUINO DA SILVA</t>
  </si>
  <si>
    <t>techdryanapolis@gmail.com</t>
  </si>
  <si>
    <t>52206010144</t>
  </si>
  <si>
    <t>Comércio varejista de tintas e materiais para pintura</t>
  </si>
  <si>
    <t>IMPEROBRA IMPERMEABILIZANTES LTDA</t>
  </si>
  <si>
    <t>50178203000140</t>
  </si>
  <si>
    <t>DINOVAN DE MORAIS</t>
  </si>
  <si>
    <t>dinodemorais@gmail.com</t>
  </si>
  <si>
    <t>52205998472</t>
  </si>
  <si>
    <t>COMERCIAL MORAIS LTDA</t>
  </si>
  <si>
    <t>42427749000160</t>
  </si>
  <si>
    <t>JOEL PEDRO DE CARVALHO JUNIOR</t>
  </si>
  <si>
    <t>joelcarvalho@hotmail.com</t>
  </si>
  <si>
    <t>51201922233</t>
  </si>
  <si>
    <t>CUIABA</t>
  </si>
  <si>
    <t>LOC E LOG LOCACOES E LOGISTICA LTDA</t>
  </si>
  <si>
    <t>50596981000150</t>
  </si>
  <si>
    <t>JEAN CARLOS DA SILVA</t>
  </si>
  <si>
    <t>jeangas_rial@hotmail.com</t>
  </si>
  <si>
    <t>52206040191</t>
  </si>
  <si>
    <t>JARAGUA</t>
  </si>
  <si>
    <t>JCS COMERCIAL DE GAS LTDA</t>
  </si>
  <si>
    <t>50937414000110</t>
  </si>
  <si>
    <t>52206072913</t>
  </si>
  <si>
    <t>TRASPORTO LTDA</t>
  </si>
  <si>
    <t>50916012000139</t>
  </si>
  <si>
    <t>THIAGO ZAMEL</t>
  </si>
  <si>
    <t>thiagozamel@icloud.com</t>
  </si>
  <si>
    <t>52206071461</t>
  </si>
  <si>
    <t>THG PRESTACAO DE SERVICOS LTDA</t>
  </si>
  <si>
    <t>51154071000180</t>
  </si>
  <si>
    <t>CARLOS ROBERTO ARRIEL</t>
  </si>
  <si>
    <t>daianecristinaarriel@gmail.com</t>
  </si>
  <si>
    <t>52206094925</t>
  </si>
  <si>
    <t>ARRIEL GAS LTDA</t>
  </si>
  <si>
    <t>46990144000133</t>
  </si>
  <si>
    <t>52206121752</t>
  </si>
  <si>
    <t>BABI KIDS LOJA INFANTIL LTDA</t>
  </si>
  <si>
    <t>51302648000153</t>
  </si>
  <si>
    <t>RODRIGO CARNEIRO DOS SANTOS</t>
  </si>
  <si>
    <t>rodrigo.rialma@outlook.com</t>
  </si>
  <si>
    <t>52206108314</t>
  </si>
  <si>
    <t>R C DOS SANTOS LTDA</t>
  </si>
  <si>
    <t>51037239000177</t>
  </si>
  <si>
    <t>EDWARD OLENTINO FERNANDES JUNIOR</t>
  </si>
  <si>
    <t>AGROPECUARIARENASCER@GMAIL.COM.BR</t>
  </si>
  <si>
    <t>52206082218</t>
  </si>
  <si>
    <t>Cultivo de cana-de-açúcar</t>
  </si>
  <si>
    <t>VILA PROPICIO</t>
  </si>
  <si>
    <t>AGROPECUARIA FAZENDAS RENASCER LTDA</t>
  </si>
  <si>
    <t>51756909000105</t>
  </si>
  <si>
    <t>FERNANDO CANEDO DE PAULA SILVEIRA</t>
  </si>
  <si>
    <t>52206155959</t>
  </si>
  <si>
    <t>Comércio varejista de madeira e artefatos</t>
  </si>
  <si>
    <t>COIMMAR COMERCIO LTDA</t>
  </si>
  <si>
    <t>51747254000109</t>
  </si>
  <si>
    <t>DIRCEU LEMOS MATOS</t>
  </si>
  <si>
    <t>qualiend.end@gmail.com</t>
  </si>
  <si>
    <t>52206155002</t>
  </si>
  <si>
    <t>QUALIEND INSPECOES LTDA</t>
  </si>
  <si>
    <t>51897178000118</t>
  </si>
  <si>
    <t>VIVIAN SEABRA DE VASCONCELOS GALDEANO</t>
  </si>
  <si>
    <t>52206169224</t>
  </si>
  <si>
    <t>ELEVARE CLINIC LTDA</t>
  </si>
  <si>
    <t>52432412000102</t>
  </si>
  <si>
    <t>envase.ser@gmail.com</t>
  </si>
  <si>
    <t>52206230462</t>
  </si>
  <si>
    <t>ENVASE INDUSTRIA DE BEBIDAS LTDA</t>
  </si>
  <si>
    <t>52528243000109</t>
  </si>
  <si>
    <t>52206238781</t>
  </si>
  <si>
    <t>RFC EMPREENDIMENTOS LTDA</t>
  </si>
  <si>
    <t>52568182000103</t>
  </si>
  <si>
    <t>52206243289</t>
  </si>
  <si>
    <t>ATM EMPREENDIMENTOS LTDA</t>
  </si>
  <si>
    <t>52570038000101</t>
  </si>
  <si>
    <t>WELINGTON DA SILVA CARDOSO</t>
  </si>
  <si>
    <t>welington@silvatiburcio.adv.br</t>
  </si>
  <si>
    <t>WELINGTON CARDOSO SOCIEDADE INDIVIDUAL DE ADVOCACIA</t>
  </si>
  <si>
    <t>52586943000141</t>
  </si>
  <si>
    <t>ANNA MARCELLY DIAS DA SILVA</t>
  </si>
  <si>
    <t>marietta.barrt@gmail.com</t>
  </si>
  <si>
    <t>52206245435</t>
  </si>
  <si>
    <t>Bares e outros estabelecimentos especializados em servir bebidas, com entretenimento</t>
  </si>
  <si>
    <t>MARIETTA BAR E RESTAURANTE LTDA</t>
  </si>
  <si>
    <t>52507478000106</t>
  </si>
  <si>
    <t>pollianafono29@gmail.com</t>
  </si>
  <si>
    <t>52206237963</t>
  </si>
  <si>
    <t>Atividades de fonoaudiologia</t>
  </si>
  <si>
    <t>LB SERVICOS DE FONOAUDIOLOGIA LTDA</t>
  </si>
  <si>
    <t>52729432000131</t>
  </si>
  <si>
    <t>JULIANA ROSA FERNANDES MATOS</t>
  </si>
  <si>
    <t>julianamatos2951@gmail.com</t>
  </si>
  <si>
    <t>52206259673</t>
  </si>
  <si>
    <t>SORVETERIA SANTO ANTONIO LTDA</t>
  </si>
  <si>
    <t>52839335000100</t>
  </si>
  <si>
    <t>ANIBAL SERAFIM DE SOUSA NETO</t>
  </si>
  <si>
    <t>anibalssn@gmail.com</t>
  </si>
  <si>
    <t>52206270766</t>
  </si>
  <si>
    <t>D LORE MIDIA LTDA</t>
  </si>
  <si>
    <t>53379706000172</t>
  </si>
  <si>
    <t>gleycefisio14@icloud.com</t>
  </si>
  <si>
    <t>52206330998</t>
  </si>
  <si>
    <t>BUTECO PINGUIM LTDA</t>
  </si>
  <si>
    <t>25448061000147</t>
  </si>
  <si>
    <t>MARCOS HONORIO JUNIOR</t>
  </si>
  <si>
    <t>gessohonorio@gmail.com</t>
  </si>
  <si>
    <t>52600300318</t>
  </si>
  <si>
    <t>Comércio varejista de materiais de construção não especificados anteriormente</t>
  </si>
  <si>
    <t>GESSO HONORIO LTDA</t>
  </si>
  <si>
    <t>37097323000155</t>
  </si>
  <si>
    <t>ANNA KAROLAYNE MONTEIRO ALVES</t>
  </si>
  <si>
    <t>annakarolaynee1@gmail.com</t>
  </si>
  <si>
    <t>52206339154</t>
  </si>
  <si>
    <t>A K STORE LTDA</t>
  </si>
  <si>
    <t>06936057000183</t>
  </si>
  <si>
    <t>ADILSON CARMO MELO</t>
  </si>
  <si>
    <t>acemello1966@gmail.com</t>
  </si>
  <si>
    <t>52102715940</t>
  </si>
  <si>
    <t>Bares e outros estabelecimentos especializados em servir bebidas, sem entretenimento</t>
  </si>
  <si>
    <t>A C MELO LTDA</t>
  </si>
  <si>
    <t>53975225000120</t>
  </si>
  <si>
    <t>CRISTIANE COSTA DE MORAES</t>
  </si>
  <si>
    <t>cristiane.moraes02@gmail.com</t>
  </si>
  <si>
    <t>52206394643</t>
  </si>
  <si>
    <t>CROCHE MORAES LTDA</t>
  </si>
  <si>
    <t>Comércio a varejo de peças e acessórios novos para veículos automotores</t>
  </si>
  <si>
    <t>54131050000137</t>
  </si>
  <si>
    <t>52206412102</t>
  </si>
  <si>
    <t>Obras de acabamento em gesso e estuque</t>
  </si>
  <si>
    <t>ACARTONAPOLIS PRESTADORA DE SERVICOS LTDA</t>
  </si>
  <si>
    <t>54385238000101</t>
  </si>
  <si>
    <t>52206439876</t>
  </si>
  <si>
    <t>ELEGANZA REVEST LTDA</t>
  </si>
  <si>
    <t>33854350000174</t>
  </si>
  <si>
    <t>EMERSON MARTINS DOS SANTOS</t>
  </si>
  <si>
    <t>fernandesnayane95@gmail.com</t>
  </si>
  <si>
    <t>52206497795</t>
  </si>
  <si>
    <t>DOM CARECA PIZZARIA E HAMBURGUEIRA LTDA</t>
  </si>
  <si>
    <t>00625660161</t>
  </si>
  <si>
    <t>FABIANA PATRICIA ALVES</t>
  </si>
  <si>
    <t>47807956000163</t>
  </si>
  <si>
    <t>VITOR ASAFE MORAIS GONDIM</t>
  </si>
  <si>
    <t>santosal2024@gmail.com</t>
  </si>
  <si>
    <t>55517525000190</t>
  </si>
  <si>
    <t>ERIVANIA CRISTINA DA SILVA</t>
  </si>
  <si>
    <t>ERIVANIACRISTINY@HOTMAIL.COM</t>
  </si>
  <si>
    <t>52206553440</t>
  </si>
  <si>
    <t>ERIPUBLI LTDA</t>
  </si>
  <si>
    <t>55463767000149</t>
  </si>
  <si>
    <t>LILIAN DE SOUZA ALVES LISBOA</t>
  </si>
  <si>
    <t>52206546796</t>
  </si>
  <si>
    <t>Serviços de montagem de móveis de qualquer material</t>
  </si>
  <si>
    <t>RHEMA MOVEIS PLANEJADOS LTDA</t>
  </si>
  <si>
    <t>55842617000146</t>
  </si>
  <si>
    <t>MILTON TOSTES</t>
  </si>
  <si>
    <t>miltontostes@gmail.com</t>
  </si>
  <si>
    <t>52206588791</t>
  </si>
  <si>
    <t>TOSTES ENGENHARIA LTDA</t>
  </si>
  <si>
    <t>33562384000195</t>
  </si>
  <si>
    <t>ADEMIR SILVA SOARES</t>
  </si>
  <si>
    <t>arq.lorrainny@gmail.com</t>
  </si>
  <si>
    <t>52600807943</t>
  </si>
  <si>
    <t>ANHANGUERA PASTAGEM COMERCIO LTDA</t>
  </si>
  <si>
    <t>55741687000108</t>
  </si>
  <si>
    <t>GESSOHONORIO@GMAIL.COM</t>
  </si>
  <si>
    <t>52206577861</t>
  </si>
  <si>
    <t>GH SISTEMAS CONSTRUTIVOS LTDA</t>
  </si>
  <si>
    <t>34938827000162</t>
  </si>
  <si>
    <t>GABRIEL DIAS RODRIGUES</t>
  </si>
  <si>
    <t>contato@kzau.com.br</t>
  </si>
  <si>
    <t>KZA.U ARQUITETURA E ENGENHARIA INTEGRADA LTDA</t>
  </si>
  <si>
    <t>57448775000141</t>
  </si>
  <si>
    <t>DANIEL NOLASCO SILVA</t>
  </si>
  <si>
    <t>52206701503</t>
  </si>
  <si>
    <t>Comércio varejista especializado de peças e acessórios para aparelhos eletroeletrônicos para uso doméstico, exceto informática e comunicação</t>
  </si>
  <si>
    <t>DANPECAS REFRIGERACAO LTDA</t>
  </si>
  <si>
    <t>57492145000174</t>
  </si>
  <si>
    <t>CAIQUE FERREIRA FERNANDES</t>
  </si>
  <si>
    <t>52206706076</t>
  </si>
  <si>
    <t>ANAPEDRAS EXPERIENCE LTDA</t>
  </si>
  <si>
    <t>57981613000174</t>
  </si>
  <si>
    <t>20.336.182-2</t>
  </si>
  <si>
    <t>52206753678</t>
  </si>
  <si>
    <t>PIRENOPOLIS VEICULOS LTDA</t>
  </si>
  <si>
    <t>58002293000126</t>
  </si>
  <si>
    <t>FABIANO LAGE SOARES DE AZEVEDO</t>
  </si>
  <si>
    <t>fabianolsazevedo@hotmail.com</t>
  </si>
  <si>
    <t>52206756189</t>
  </si>
  <si>
    <t>SOARES DE AZEVEDO CONSTRUCOES LTDA</t>
  </si>
  <si>
    <t>57983433000121</t>
  </si>
  <si>
    <t>PEDRO ARTHUR CANDIDO MOURA</t>
  </si>
  <si>
    <t>pedroarthur.moura1@gmail.com</t>
  </si>
  <si>
    <t>52206753856</t>
  </si>
  <si>
    <t>INNOVATION PRODUCOES ARTISTICAS LTDA</t>
  </si>
  <si>
    <t>55750096000105</t>
  </si>
  <si>
    <t>NAGILLA ANDRADE DE MIRANDA</t>
  </si>
  <si>
    <t>ontatomercadi.in@gmail.com</t>
  </si>
  <si>
    <t>52206773407</t>
  </si>
  <si>
    <t>MERCADI.IN MERCADOS AUTONOMOS LTDA</t>
  </si>
  <si>
    <t>54812567000191</t>
  </si>
  <si>
    <t>EDUARDA MOREIRA DE SOUSA</t>
  </si>
  <si>
    <t>52206828406</t>
  </si>
  <si>
    <t>EMPORIO RESTAURANTE BICA DA AGUA LTDA</t>
  </si>
  <si>
    <t>58696180000178</t>
  </si>
  <si>
    <t>52206828864</t>
  </si>
  <si>
    <t>S J PRESTACAO DE SERVICOS LTDA</t>
  </si>
  <si>
    <t>58921505000179</t>
  </si>
  <si>
    <t>52206844258</t>
  </si>
  <si>
    <t>CONSTRUTORA LONGHI LTDA</t>
  </si>
  <si>
    <t>58764857000168</t>
  </si>
  <si>
    <t>GIOVANNI MARTINS FALCAO</t>
  </si>
  <si>
    <t>giovannifalcao.gf@gmail.com</t>
  </si>
  <si>
    <t>52206833574</t>
  </si>
  <si>
    <t>GM FALCAO CONFECCOES LTDA</t>
  </si>
  <si>
    <t>59008007000100</t>
  </si>
  <si>
    <t>LAURA SILVA MIGLIAVACCA</t>
  </si>
  <si>
    <t>52206852226</t>
  </si>
  <si>
    <t>L S MIGLIAVACCA LTDA</t>
  </si>
  <si>
    <t>58909382000150</t>
  </si>
  <si>
    <t>ANDREY VINICIUS DE PINHO DIAS</t>
  </si>
  <si>
    <t>monicaefranciscoandrey@gmail.com</t>
  </si>
  <si>
    <t>52206842999</t>
  </si>
  <si>
    <t>SIMPLES CONSULTORIA E GESTAO LTDA</t>
  </si>
  <si>
    <t>27160744000120</t>
  </si>
  <si>
    <t>VILMONE PULQUERIO DA SILVA</t>
  </si>
  <si>
    <t>vpindustriametalurgica@gmail.com</t>
  </si>
  <si>
    <t>Fabricação de máquinas, equipamentos e aparelhos para transporte e elevação de cargas, peças e acessórios</t>
  </si>
  <si>
    <t>GAMELEIRA DE GOIAS</t>
  </si>
  <si>
    <t>59888270000123</t>
  </si>
  <si>
    <t>MARIANA EDUARDA SILVA RIBEIRO</t>
  </si>
  <si>
    <t>52206956013</t>
  </si>
  <si>
    <t>VP PRESTACAO DE SERVICOS LTDA</t>
  </si>
  <si>
    <t>52239048000150</t>
  </si>
  <si>
    <t>DOUGLAS ANTONIO DE OLIVEIRA SILVA</t>
  </si>
  <si>
    <t>milton.o.v.junior@icloud.com</t>
  </si>
  <si>
    <t>D&amp;V PECAS E ACESSORIOS AUTOMOTIVOS LTDA</t>
  </si>
  <si>
    <t>55741687000299</t>
  </si>
  <si>
    <t>52901133968</t>
  </si>
  <si>
    <t>CATALAO</t>
  </si>
  <si>
    <t>40691811000109</t>
  </si>
  <si>
    <t>BRUNO FELIPE ARAUJO MARTINS</t>
  </si>
  <si>
    <t>BRUNOFELIPEAM@OUTLOOK.COM</t>
  </si>
  <si>
    <t>HUBJET TRANSPORTES LTDA</t>
  </si>
  <si>
    <t>60575906000166</t>
  </si>
  <si>
    <t>THOMAZ DE FARIA JUNIOR</t>
  </si>
  <si>
    <t>soeletrofunkbom@gmail.com</t>
  </si>
  <si>
    <t>SO ELETROFUNK LTDA</t>
  </si>
  <si>
    <t>61411499000114</t>
  </si>
  <si>
    <t>FLAVIO ANTONIO RAMOS DANTAS</t>
  </si>
  <si>
    <t>storekuantun@gmail.com</t>
  </si>
  <si>
    <t>TR COMERCIO E SERVICOS LTDA</t>
  </si>
  <si>
    <t>61730676000125</t>
  </si>
  <si>
    <t>ANAPEDRASGO@HOTMAIL.COM</t>
  </si>
  <si>
    <t>Aplicação de revestimentos e de resinas em interiores e exteriores</t>
  </si>
  <si>
    <t>CAJU SERVICOS LTDA</t>
  </si>
  <si>
    <t>62430189000100</t>
  </si>
  <si>
    <t>EAR PREMIUM LTDA</t>
  </si>
  <si>
    <t>18608090000244</t>
  </si>
  <si>
    <t>52901056840</t>
  </si>
  <si>
    <t>62525534000199</t>
  </si>
  <si>
    <t>GUTHYERE PACHECO PIRES DE SOUSA</t>
  </si>
  <si>
    <t>GUTHYERE@CHAOGOIANO.COM.BR</t>
  </si>
  <si>
    <t>Holdings de instituições não-financeiras</t>
  </si>
  <si>
    <t>M3JS ADMINISTRADORA LTDA</t>
  </si>
  <si>
    <t>52222994000194</t>
  </si>
  <si>
    <t>HECTOR GABRIEL PUECHAGUT</t>
  </si>
  <si>
    <t>gabriel.puechagut@hotmail.com</t>
  </si>
  <si>
    <t>HGP-PHARMA CONSULTORIA LTDA</t>
  </si>
  <si>
    <t>61544100000173</t>
  </si>
  <si>
    <t>20.290.630-2</t>
  </si>
  <si>
    <t>ENZO OLIVEIRA MARQUES</t>
  </si>
  <si>
    <t>enzooliveiramq@hotmail.com</t>
  </si>
  <si>
    <t>EMPORIO ROTA DO LAGO LTDA</t>
  </si>
  <si>
    <t>63325683000177</t>
  </si>
  <si>
    <t>ANGELA DA SILVA GOMES</t>
  </si>
  <si>
    <t>angelagomes282@gmail.com</t>
  </si>
  <si>
    <t>AVLIS LTDA</t>
  </si>
  <si>
    <t>63309522000190</t>
  </si>
  <si>
    <t>20.332.924-4</t>
  </si>
  <si>
    <t>Premierfxx@hotmail.com</t>
  </si>
  <si>
    <t>PREMIER FX LTDA</t>
  </si>
  <si>
    <t>63379261000184</t>
  </si>
  <si>
    <t>drogariasnacional@hotmail.com</t>
  </si>
  <si>
    <t>JS MEDICAMENTOS LTDA</t>
  </si>
  <si>
    <t>63501671000156</t>
  </si>
  <si>
    <t>20.337.382-0</t>
  </si>
  <si>
    <t>jasonsvx@gmail.com</t>
  </si>
  <si>
    <t>Comércio varejista de artigos de papelaria</t>
  </si>
  <si>
    <t>GJX COMERCIO E IMPORTACAO LTDA</t>
  </si>
  <si>
    <t>02673851000120</t>
  </si>
  <si>
    <t>RONALDO RIBEIRO DE PAIVA JUNIOR</t>
  </si>
  <si>
    <t>multipecasrefrigeracao@gmail.com</t>
  </si>
  <si>
    <t>52201506591</t>
  </si>
  <si>
    <t>MULTIPECAS REFRIGERACAO E ELETRODOMESTICOS LTDA</t>
  </si>
  <si>
    <t>nilsonntv@hotmail.com</t>
  </si>
  <si>
    <t>04894667000136</t>
  </si>
  <si>
    <t>SILVIO ANTONIO DE SANTANA</t>
  </si>
  <si>
    <t>52201864889</t>
  </si>
  <si>
    <t>ZOO FOS TRANSPORTES LTDA</t>
  </si>
  <si>
    <t>01958717000103</t>
  </si>
  <si>
    <t>52201904295</t>
  </si>
  <si>
    <t>AGUA NINA INDUSTRIA DE BEBIDAS LTDA</t>
  </si>
  <si>
    <t>00272583000100</t>
  </si>
  <si>
    <t>JASON MENDES DE SOUSA</t>
  </si>
  <si>
    <t>52200382881</t>
  </si>
  <si>
    <t>VITORIA COMERCIO LTDA</t>
  </si>
  <si>
    <t>02776664000172</t>
  </si>
  <si>
    <t>NUBIA FRAGA LEDRA</t>
  </si>
  <si>
    <t>52200571527</t>
  </si>
  <si>
    <t>Fabricação de estruturas pré-moldadas de concreto armado, em série e sob encomenda</t>
  </si>
  <si>
    <t>LEDRA &amp; LEDRA LTDA</t>
  </si>
  <si>
    <t>05897072000105</t>
  </si>
  <si>
    <t>DECIDO JULIO VERNE TRISTÃO</t>
  </si>
  <si>
    <t>vivosupermercado@hotmail.com</t>
  </si>
  <si>
    <t>52202029223</t>
  </si>
  <si>
    <t>TRISTAO &amp; SILVA LTDA</t>
  </si>
  <si>
    <t>00544901000144</t>
  </si>
  <si>
    <t>eliasjaliss@gmail.com</t>
  </si>
  <si>
    <t>52201213250</t>
  </si>
  <si>
    <t>MERCANTIL DISTRIBUIDORA DE ALIMENTOS LTDA</t>
  </si>
  <si>
    <t>03778907000174</t>
  </si>
  <si>
    <t>MARIA LUCIA RODRIGUES DE MOURA</t>
  </si>
  <si>
    <t>embalagensmoura758@hotmail.com</t>
  </si>
  <si>
    <t>52201675431</t>
  </si>
  <si>
    <t>EMBALAGENS MOURA LTDA</t>
  </si>
  <si>
    <t>04836577000199</t>
  </si>
  <si>
    <t>ORLANDINO MACHADO DE OLIVEIRA</t>
  </si>
  <si>
    <t>52201854590</t>
  </si>
  <si>
    <t>Aparelhamento de placas e execução de trabalhos em mármore, granito, ardósia e outras pedras</t>
  </si>
  <si>
    <t>MARMORARIA VITORIA LTDA</t>
  </si>
  <si>
    <t>01481795000160</t>
  </si>
  <si>
    <t>LEONI ANTONIO DA SILVA</t>
  </si>
  <si>
    <t>rapidogoias@yahoo.com.br</t>
  </si>
  <si>
    <t>52200112557</t>
  </si>
  <si>
    <t>Transporte rodoviário coletivo de passageiros, com itinerário fixo, intermunicipal em região metropolitana</t>
  </si>
  <si>
    <t>RAPIDO GOIAS LTDA</t>
  </si>
  <si>
    <t>07246086000186</t>
  </si>
  <si>
    <t>52202169033</t>
  </si>
  <si>
    <t>07939334000174</t>
  </si>
  <si>
    <t>citropel@gmail.com</t>
  </si>
  <si>
    <t>52202291548</t>
  </si>
  <si>
    <t>Comércio atacadista de resíduos de papel e papelão</t>
  </si>
  <si>
    <t>TRADICAO COMERCIO E SERVICOS LTDA</t>
  </si>
  <si>
    <t>05889499000153</t>
  </si>
  <si>
    <t>52203320835</t>
  </si>
  <si>
    <t>CENTRO OESTE GAS II LTDA</t>
  </si>
  <si>
    <t>03163171000120</t>
  </si>
  <si>
    <t>52201569267</t>
  </si>
  <si>
    <t>LL DA SILVA &amp; CIA. LTDA.</t>
  </si>
  <si>
    <t>03163171000634</t>
  </si>
  <si>
    <t>52900379611</t>
  </si>
  <si>
    <t>ITAPACI</t>
  </si>
  <si>
    <t>03530737000104</t>
  </si>
  <si>
    <t>52202779907</t>
  </si>
  <si>
    <t>03163171000804</t>
  </si>
  <si>
    <t>52900448612</t>
  </si>
  <si>
    <t>04829039000177</t>
  </si>
  <si>
    <t>ceres.centrooestegas@outlook.com</t>
  </si>
  <si>
    <t>52201855766</t>
  </si>
  <si>
    <t>FABIANA PATRICIA ALVES LTDA</t>
  </si>
  <si>
    <t>07872563000119</t>
  </si>
  <si>
    <t>52202282271</t>
  </si>
  <si>
    <t>NETO CONTABILIDADE LTDA</t>
  </si>
  <si>
    <t>07936104000151</t>
  </si>
  <si>
    <t>HUGO MAIA EL ZAYEK</t>
  </si>
  <si>
    <t>contato@hzpublicidade.com.br</t>
  </si>
  <si>
    <t>54588</t>
  </si>
  <si>
    <t>52202291998</t>
  </si>
  <si>
    <t>HZ COMUNICACAO E PLANEJAMENTO LTDA</t>
  </si>
  <si>
    <t>05230120000107</t>
  </si>
  <si>
    <t>52201920819</t>
  </si>
  <si>
    <t>SIAURA &amp; SILVA LTDA</t>
  </si>
  <si>
    <t>04874425000180</t>
  </si>
  <si>
    <t>ADRIANA PEDROSO PREGNOLATTO</t>
  </si>
  <si>
    <t>daraina@guaimbe.org.br</t>
  </si>
  <si>
    <t>Atividades de organizações associativas ligadas à cultura e à arte</t>
  </si>
  <si>
    <t>GUAIMBE ESPACOE MOVIMENTO CRIATIVO</t>
  </si>
  <si>
    <t>08821047000128</t>
  </si>
  <si>
    <t>LILIAN MENEZES VALLIN MACHADO</t>
  </si>
  <si>
    <t>lilianvmachado@hotmail.com</t>
  </si>
  <si>
    <t>52202394631</t>
  </si>
  <si>
    <t>GESTARE ET EDUCARE ASSESSORIA E GESTAO LTDA</t>
  </si>
  <si>
    <t>07304043000100</t>
  </si>
  <si>
    <t>52202181645</t>
  </si>
  <si>
    <t>TRANCE CONSTRUCOES LTDA</t>
  </si>
  <si>
    <t>01738210000144</t>
  </si>
  <si>
    <t>alexandre@radiomanchester.com.br</t>
  </si>
  <si>
    <t>52200493925</t>
  </si>
  <si>
    <t>Atividades de rádio</t>
  </si>
  <si>
    <t>RADIO MANCHESTER DE ANAPOLIS LTDA</t>
  </si>
  <si>
    <t>24783367000197</t>
  </si>
  <si>
    <t>52200715499</t>
  </si>
  <si>
    <t>RADIO CHAO GOIANO FM LTDA</t>
  </si>
  <si>
    <t>09212704000100</t>
  </si>
  <si>
    <t>WAGNER FRANCISCO FLÁVIO</t>
  </si>
  <si>
    <t>lavajatocentral2011@hotmail.com</t>
  </si>
  <si>
    <t>52202457331</t>
  </si>
  <si>
    <t>Serviços de lavagem, lubrificação e polimento de veículos automotores</t>
  </si>
  <si>
    <t>WV POSTO DE LAVAGEM LTDA</t>
  </si>
  <si>
    <t>VALDIVINO PEREIRA DA SILVA</t>
  </si>
  <si>
    <t>00769423000170</t>
  </si>
  <si>
    <t>MARIE PAVLIKOVÁ NORONHA</t>
  </si>
  <si>
    <t>claudiopavlik@hotmail.com</t>
  </si>
  <si>
    <t>52201257788</t>
  </si>
  <si>
    <t>Fabricação de produtos de carne</t>
  </si>
  <si>
    <t>INDUSTRIA E COMERCIO DE CARNES OTTO LTDA</t>
  </si>
  <si>
    <t>01706965000167</t>
  </si>
  <si>
    <t>PATRICIA FERRAZ DA CRUZ</t>
  </si>
  <si>
    <t>patriciaferraz007@gmail.com</t>
  </si>
  <si>
    <t>COEPI - COMUNIDADE EDUCACIONAL DE PIRENOPOLIS</t>
  </si>
  <si>
    <t>09443871000154</t>
  </si>
  <si>
    <t>helder.centrooestegas@outlook.com</t>
  </si>
  <si>
    <t>52202495011</t>
  </si>
  <si>
    <t>10366216000129</t>
  </si>
  <si>
    <t>TIAGO FERREIRA DIONIZIO</t>
  </si>
  <si>
    <t>tiagobarcaferr@hotmail.com</t>
  </si>
  <si>
    <t>DISK CERVEJA PINGUIM LTDA</t>
  </si>
  <si>
    <t>10501937000102</t>
  </si>
  <si>
    <t>52202588109</t>
  </si>
  <si>
    <t>Estúdios cinematográficos</t>
  </si>
  <si>
    <t>QI LIVRE LTDA</t>
  </si>
  <si>
    <t>10480328000106</t>
  </si>
  <si>
    <t>GLEIDE MARIA GOMES</t>
  </si>
  <si>
    <t>contato@salaodecor.com.br</t>
  </si>
  <si>
    <t>52103062753</t>
  </si>
  <si>
    <t>VIA INTERIORES MOVEIS LTDA</t>
  </si>
  <si>
    <t>10800711000102</t>
  </si>
  <si>
    <t>GIOVANI RODRIGUES CHAVEIRO</t>
  </si>
  <si>
    <t>maravilhachaveiro00@gmail.com</t>
  </si>
  <si>
    <t>52202636553</t>
  </si>
  <si>
    <t>Representantes comerciais e agentes do comércio de peças e acessórios novos e usados para veículos automotores</t>
  </si>
  <si>
    <t>SALLES REPRESENTACAO LTDA</t>
  </si>
  <si>
    <t>11048846000118</t>
  </si>
  <si>
    <t>DANILO RAPHAEL SANTOS PRADO</t>
  </si>
  <si>
    <t>teresinhaimoveis2020@gmail.com</t>
  </si>
  <si>
    <t>52103137699</t>
  </si>
  <si>
    <t>TERESINHA IMOVEIS LTDA</t>
  </si>
  <si>
    <t>11324995000162</t>
  </si>
  <si>
    <t>vivian.alves.silva@hotmail.com</t>
  </si>
  <si>
    <t>52103180233</t>
  </si>
  <si>
    <t>Lojas de variedades, exceto lojas de departamentos ou magazines</t>
  </si>
  <si>
    <t>VALDIVINO PEREIRA DA SILVA O GOIANO</t>
  </si>
  <si>
    <t>11219154000195</t>
  </si>
  <si>
    <t>EMERSON DE ASSIS MONTEIRO</t>
  </si>
  <si>
    <t>52103170378</t>
  </si>
  <si>
    <t>FOSCRIA NUTRIÇÃO ANIMAL LTDA</t>
  </si>
  <si>
    <t>11657077000155</t>
  </si>
  <si>
    <t>NELIA CARVALHO DE SOUZA</t>
  </si>
  <si>
    <t>neliacarvalhodesouza@gmail.com</t>
  </si>
  <si>
    <t>52103209967</t>
  </si>
  <si>
    <t>CNPJ</t>
  </si>
  <si>
    <t>Imune/Isenta</t>
  </si>
  <si>
    <t>07175660804</t>
  </si>
  <si>
    <t>53353455191</t>
  </si>
  <si>
    <t>87583119804</t>
  </si>
  <si>
    <t>95107320104</t>
  </si>
  <si>
    <t>33473404187</t>
  </si>
  <si>
    <t>34965165187</t>
  </si>
  <si>
    <t>81060971100</t>
  </si>
  <si>
    <t>40181758172</t>
  </si>
  <si>
    <t>30240468104</t>
  </si>
  <si>
    <t>66416400197</t>
  </si>
  <si>
    <t>27226875853</t>
  </si>
  <si>
    <t>00070681155</t>
  </si>
  <si>
    <t>99675889187</t>
  </si>
  <si>
    <t>72993480120</t>
  </si>
  <si>
    <t>81843909120</t>
  </si>
  <si>
    <t>02024063187</t>
  </si>
  <si>
    <t>88076482100</t>
  </si>
  <si>
    <t>43460569115</t>
  </si>
  <si>
    <t>09507841172</t>
  </si>
  <si>
    <t>94664846134</t>
  </si>
  <si>
    <t>79283276191</t>
  </si>
  <si>
    <t>02022451104</t>
  </si>
  <si>
    <t>27919544149</t>
  </si>
  <si>
    <t>16996119120</t>
  </si>
  <si>
    <t>26279746100</t>
  </si>
  <si>
    <t>00554091135</t>
  </si>
  <si>
    <t>77286502115</t>
  </si>
  <si>
    <t>80165389168</t>
  </si>
  <si>
    <t>11775602168</t>
  </si>
  <si>
    <t>95888055115</t>
  </si>
  <si>
    <t>54816971149</t>
  </si>
  <si>
    <t>76753409149</t>
  </si>
  <si>
    <t>87988933949</t>
  </si>
  <si>
    <t>13032827809</t>
  </si>
  <si>
    <t>79272967104</t>
  </si>
  <si>
    <t>03499236125</t>
  </si>
  <si>
    <t>00943394147</t>
  </si>
  <si>
    <t>27914771104</t>
  </si>
  <si>
    <t>83007580110</t>
  </si>
  <si>
    <t>30751063134</t>
  </si>
  <si>
    <t>71152199153</t>
  </si>
  <si>
    <t>84618914653</t>
  </si>
  <si>
    <t>37075039172</t>
  </si>
  <si>
    <t>35510528168</t>
  </si>
  <si>
    <t>70208870156</t>
  </si>
  <si>
    <t>47993693187</t>
  </si>
  <si>
    <t>79039413134</t>
  </si>
  <si>
    <t>89574648168</t>
  </si>
  <si>
    <t>95105905172</t>
  </si>
  <si>
    <t>05279792870</t>
  </si>
  <si>
    <t>27773949115</t>
  </si>
  <si>
    <t>79315534115</t>
  </si>
  <si>
    <t>84668717134</t>
  </si>
  <si>
    <t>33117098100</t>
  </si>
  <si>
    <t>88599485172</t>
  </si>
  <si>
    <t>55708447168</t>
  </si>
  <si>
    <t>12153767822</t>
  </si>
  <si>
    <t>52039820159</t>
  </si>
  <si>
    <t>33120706191</t>
  </si>
  <si>
    <t>69750785134</t>
  </si>
  <si>
    <t>82448973172</t>
  </si>
  <si>
    <t>80171109104</t>
  </si>
  <si>
    <t>90699378168</t>
  </si>
  <si>
    <t>87499770168</t>
  </si>
  <si>
    <t>02969853175</t>
  </si>
  <si>
    <t>01554264197</t>
  </si>
  <si>
    <t>70615705200</t>
  </si>
  <si>
    <t>02073844103</t>
  </si>
  <si>
    <t>00500983143</t>
  </si>
  <si>
    <t>59164271153</t>
  </si>
  <si>
    <t>01781595143</t>
  </si>
  <si>
    <t>00307410170</t>
  </si>
  <si>
    <t>38278707120</t>
  </si>
  <si>
    <t>33184828115</t>
  </si>
  <si>
    <t>90234332115</t>
  </si>
  <si>
    <t>04316693174</t>
  </si>
  <si>
    <t>83777857149</t>
  </si>
  <si>
    <t>87677202187</t>
  </si>
  <si>
    <t>70093543166</t>
  </si>
  <si>
    <t>83926801115</t>
  </si>
  <si>
    <t>42545145149</t>
  </si>
  <si>
    <t>04660416160</t>
  </si>
  <si>
    <t>04908445109</t>
  </si>
  <si>
    <t>01579882102</t>
  </si>
  <si>
    <t>03704200123</t>
  </si>
  <si>
    <t>78941873134</t>
  </si>
  <si>
    <t>70093544138</t>
  </si>
  <si>
    <t>47977000172</t>
  </si>
  <si>
    <t>04949419102</t>
  </si>
  <si>
    <t>71003018157</t>
  </si>
  <si>
    <t>64880982172</t>
  </si>
  <si>
    <t>99802040100</t>
  </si>
  <si>
    <t>90707621100</t>
  </si>
  <si>
    <t>03405019010</t>
  </si>
  <si>
    <t>76980111191</t>
  </si>
  <si>
    <t>75201453104</t>
  </si>
  <si>
    <t>70232275122</t>
  </si>
  <si>
    <t>28322258100</t>
  </si>
  <si>
    <t>81818939134</t>
  </si>
  <si>
    <t>03527290150</t>
  </si>
  <si>
    <t>87966913104</t>
  </si>
  <si>
    <t>89961471172</t>
  </si>
  <si>
    <t>87298244604</t>
  </si>
  <si>
    <t>70179671197</t>
  </si>
  <si>
    <t>69642184168</t>
  </si>
  <si>
    <t>02128028108</t>
  </si>
  <si>
    <t>02481119142</t>
  </si>
  <si>
    <t>73304808191</t>
  </si>
  <si>
    <t>03558500105</t>
  </si>
  <si>
    <t>00232144141</t>
  </si>
  <si>
    <t>51086050134</t>
  </si>
  <si>
    <t>73101869153</t>
  </si>
  <si>
    <t>95073469100</t>
  </si>
  <si>
    <t>71451498187</t>
  </si>
  <si>
    <t>01857202180</t>
  </si>
  <si>
    <t>02748656105</t>
  </si>
  <si>
    <t>34307176120</t>
  </si>
  <si>
    <t>40575500115</t>
  </si>
  <si>
    <t>00482169176</t>
  </si>
  <si>
    <t>01657740102</t>
  </si>
  <si>
    <t>70232326053</t>
  </si>
  <si>
    <t>03257114109</t>
  </si>
  <si>
    <t>01057533190</t>
  </si>
  <si>
    <t>80863442153</t>
  </si>
  <si>
    <t>02214175164</t>
  </si>
  <si>
    <t>27674426890</t>
  </si>
  <si>
    <t>97910163134</t>
  </si>
  <si>
    <t>03083709293</t>
  </si>
  <si>
    <t>04911591617</t>
  </si>
  <si>
    <t>70958352178</t>
  </si>
  <si>
    <t>72948809134</t>
  </si>
  <si>
    <t>04988196127</t>
  </si>
  <si>
    <t>70279459165</t>
  </si>
  <si>
    <t>75682591100</t>
  </si>
  <si>
    <t>88992454104</t>
  </si>
  <si>
    <t>10219591890</t>
  </si>
  <si>
    <t>01882102100</t>
  </si>
  <si>
    <t>73071714149</t>
  </si>
  <si>
    <t>70199627185</t>
  </si>
  <si>
    <t>04946203150</t>
  </si>
  <si>
    <t>25481323826</t>
  </si>
  <si>
    <t>62285599153</t>
  </si>
  <si>
    <t>10876787650</t>
  </si>
  <si>
    <t>81667256149</t>
  </si>
  <si>
    <t>01275433170</t>
  </si>
  <si>
    <t>05262694136</t>
  </si>
  <si>
    <t>87180294187</t>
  </si>
  <si>
    <t>03213214132</t>
  </si>
  <si>
    <t>03900781150</t>
  </si>
  <si>
    <t>03528900709</t>
  </si>
  <si>
    <t>90789431149</t>
  </si>
  <si>
    <t>03612148125</t>
  </si>
  <si>
    <t>73227943115</t>
  </si>
  <si>
    <t>04177686131</t>
  </si>
  <si>
    <t>05527299140</t>
  </si>
  <si>
    <t>42954614668</t>
  </si>
  <si>
    <t>71066887110</t>
  </si>
  <si>
    <t>89565959172</t>
  </si>
  <si>
    <t>08397661140</t>
  </si>
  <si>
    <t>03661915193</t>
  </si>
  <si>
    <t>05167438136</t>
  </si>
  <si>
    <t>CPF</t>
  </si>
  <si>
    <t>CAIRO CEZAR FERNANDES</t>
  </si>
  <si>
    <t>Simples Nacional - Comércio e Industria</t>
  </si>
  <si>
    <t xml:space="preserve">Lucro Presumido - Serviços </t>
  </si>
  <si>
    <t>Simples Nacional - Comercio e Serviços</t>
  </si>
  <si>
    <t>Lucro Presumido - Comércio e Serviços</t>
  </si>
  <si>
    <t>Simples Nacional - Serviços</t>
  </si>
  <si>
    <t>Lucro Presumido - Serviços</t>
  </si>
  <si>
    <t>Lucro Real - Comércio e Industria</t>
  </si>
  <si>
    <t>Lucro Presumido - Industria e Serviços</t>
  </si>
  <si>
    <t>Lucro Real - Serviços</t>
  </si>
  <si>
    <t>Senha</t>
  </si>
  <si>
    <t>e-mail</t>
  </si>
  <si>
    <t>Razao Social</t>
  </si>
  <si>
    <t>Tributacao</t>
  </si>
  <si>
    <t>IE</t>
  </si>
  <si>
    <t>IM</t>
  </si>
  <si>
    <t>NIRE</t>
  </si>
  <si>
    <t>Municipio</t>
  </si>
  <si>
    <t>Data de Cadastro</t>
  </si>
  <si>
    <t>Cadastro JETTAX</t>
  </si>
  <si>
    <t>10.714.519-7</t>
  </si>
  <si>
    <t>10.403.337-1</t>
  </si>
  <si>
    <t>20.107.799-0</t>
  </si>
  <si>
    <t>20.061.393-6</t>
  </si>
  <si>
    <t>10.782.520-1</t>
  </si>
  <si>
    <t>20.047.538-0</t>
  </si>
  <si>
    <t>10.356.518-3</t>
  </si>
  <si>
    <t>10.636.447-2</t>
  </si>
  <si>
    <t>20.193.308-0</t>
  </si>
  <si>
    <t>10.768.314-8</t>
  </si>
  <si>
    <t>555874 - Não está no Portal</t>
  </si>
  <si>
    <t>20.050.766-4</t>
  </si>
  <si>
    <t>10.944.387-0</t>
  </si>
  <si>
    <t>10.491.590-0</t>
  </si>
  <si>
    <t>20.078.048-4</t>
  </si>
  <si>
    <t>20.107.202-5</t>
  </si>
  <si>
    <t>10.366.985-0</t>
  </si>
  <si>
    <t>10.851.493-5</t>
  </si>
  <si>
    <t>10.216.464-9</t>
  </si>
  <si>
    <t>20.311.524-4</t>
  </si>
  <si>
    <t>20.065.647-3</t>
  </si>
  <si>
    <t>20.025.940-7</t>
  </si>
  <si>
    <t>Imóvel irregular (chácara) - Não possui inscrição</t>
  </si>
  <si>
    <t>20.227.381-4</t>
  </si>
  <si>
    <t>10.810.480-0</t>
  </si>
  <si>
    <t>10.740.001-4</t>
  </si>
  <si>
    <t>20.078.071-9</t>
  </si>
  <si>
    <t>20.192.339-4</t>
  </si>
  <si>
    <t>10.437.430-6</t>
  </si>
  <si>
    <t>20.134.511-0</t>
  </si>
  <si>
    <t>10.661.638-2</t>
  </si>
  <si>
    <t>10.312.458-6</t>
  </si>
  <si>
    <t>10.489.100-9</t>
  </si>
  <si>
    <t>10.738.038-2</t>
  </si>
  <si>
    <t>10.401.181-5</t>
  </si>
  <si>
    <t>10.673.677-9</t>
  </si>
  <si>
    <t>20.311.774-3</t>
  </si>
  <si>
    <t>10.871.380-6</t>
  </si>
  <si>
    <t>20.131.684-6</t>
  </si>
  <si>
    <t>10.326.621-6</t>
  </si>
  <si>
    <t>20.141.622-0</t>
  </si>
  <si>
    <t>20.249.206-0</t>
  </si>
  <si>
    <t>20.191.319-4</t>
  </si>
  <si>
    <t>10.346.444-1</t>
  </si>
  <si>
    <t>10.502.801-0</t>
  </si>
  <si>
    <t>10.665.839-5</t>
  </si>
  <si>
    <t>10.456.441-5</t>
  </si>
  <si>
    <t>10.701.038-0</t>
  </si>
  <si>
    <t>10.676.884-0</t>
  </si>
  <si>
    <t>20.163.984-0</t>
  </si>
  <si>
    <t>20.254.012-0</t>
  </si>
  <si>
    <t>20.223.524-6</t>
  </si>
  <si>
    <t>10.938.211-0</t>
  </si>
  <si>
    <t>10.768.565-5</t>
  </si>
  <si>
    <t>20.015.277-7</t>
  </si>
  <si>
    <t>10.443.492-9</t>
  </si>
  <si>
    <t>10.982.528-4</t>
  </si>
  <si>
    <t>10.431.880-5</t>
  </si>
  <si>
    <t>10.520.281-9</t>
  </si>
  <si>
    <t>10.850.929-0</t>
  </si>
  <si>
    <t>20.029.284-6</t>
  </si>
  <si>
    <t>10.275.591-4</t>
  </si>
  <si>
    <t>10.622.876-5</t>
  </si>
  <si>
    <t>20.117.175-9</t>
  </si>
  <si>
    <t>20.036.522-3</t>
  </si>
  <si>
    <t>20.334.419-7</t>
  </si>
  <si>
    <t>10.938.219-6</t>
  </si>
  <si>
    <t>10.774.661-1</t>
  </si>
  <si>
    <t>10.325.303-3</t>
  </si>
  <si>
    <t>10.917.826-2</t>
  </si>
  <si>
    <t>10.503.089-9</t>
  </si>
  <si>
    <t>10.161.814-0</t>
  </si>
  <si>
    <t>10.315.338-1</t>
  </si>
  <si>
    <t>10.330.278-6</t>
  </si>
  <si>
    <t>10.371.942-3</t>
  </si>
  <si>
    <t>13.886.700-3 (suspenso)</t>
  </si>
  <si>
    <t>20.019.018-0</t>
  </si>
  <si>
    <t>20.015.608-0</t>
  </si>
  <si>
    <t>10.975.829-3</t>
  </si>
  <si>
    <t>20.086.952-3</t>
  </si>
  <si>
    <t>10.930.845-0</t>
  </si>
  <si>
    <t>10.348.039-0</t>
  </si>
  <si>
    <t>10.572.485-8</t>
  </si>
  <si>
    <t>20.164.178-0</t>
  </si>
  <si>
    <t>10.258.066-9</t>
  </si>
  <si>
    <t>10.656.841-8</t>
  </si>
  <si>
    <t>10.545.970-4</t>
  </si>
  <si>
    <t>10.955.986-0</t>
  </si>
  <si>
    <t>10.894.171-0</t>
  </si>
  <si>
    <t>10.306.157-6</t>
  </si>
  <si>
    <t>61279 - Não está no Portal</t>
  </si>
  <si>
    <t>10.907.429-7</t>
  </si>
  <si>
    <t>10.387.881-5</t>
  </si>
  <si>
    <t>20.012.100-6</t>
  </si>
  <si>
    <t>20.019.316-3</t>
  </si>
  <si>
    <t>10.571.864-5</t>
  </si>
  <si>
    <t>10.518.456-0</t>
  </si>
  <si>
    <t>10.646.781-6</t>
  </si>
  <si>
    <t>20.054.494-2</t>
  </si>
  <si>
    <t>10.228.409-1</t>
  </si>
  <si>
    <t>10.772.857-5</t>
  </si>
  <si>
    <t>10.419.077-9</t>
  </si>
  <si>
    <t>10.421.388-4</t>
  </si>
  <si>
    <t>10.195.766-1</t>
  </si>
  <si>
    <t>10.420.808-2</t>
  </si>
  <si>
    <t>10.862.521-4</t>
  </si>
  <si>
    <t>10.964.549-9</t>
  </si>
  <si>
    <t>10.865.172-0</t>
  </si>
  <si>
    <t>10.361.763-9</t>
  </si>
  <si>
    <t>10.393.346-8</t>
  </si>
  <si>
    <t>10.608.360-0</t>
  </si>
  <si>
    <t>20.204.745-8</t>
  </si>
  <si>
    <t>20.045.158-8</t>
  </si>
  <si>
    <t>20.090.404-3</t>
  </si>
  <si>
    <t>20.085.562-0</t>
  </si>
  <si>
    <t>20.016.152-0</t>
  </si>
  <si>
    <t>10.731.381-2</t>
  </si>
  <si>
    <t>10.787.474-1</t>
  </si>
  <si>
    <t>20.287.272-6</t>
  </si>
  <si>
    <t>10.399.347-9</t>
  </si>
  <si>
    <t>10.367.683-0</t>
  </si>
  <si>
    <t>10.458.287-1</t>
  </si>
  <si>
    <t>10.441.994-6</t>
  </si>
  <si>
    <t>10.735.762-3</t>
  </si>
  <si>
    <t>10.936.486-4</t>
  </si>
  <si>
    <t>10.127.205-7</t>
  </si>
  <si>
    <t>10.717.618-1</t>
  </si>
  <si>
    <t>10.307.082-6</t>
  </si>
  <si>
    <t>10.420.429-0</t>
  </si>
  <si>
    <t>10.646.921-5</t>
  </si>
  <si>
    <t>10.357.807-2</t>
  </si>
  <si>
    <t>2353</t>
  </si>
  <si>
    <t>Filial - Serviços</t>
  </si>
  <si>
    <t>Filial - Comércio</t>
  </si>
  <si>
    <t>Regime</t>
  </si>
  <si>
    <t>Filial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</si>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</sst>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7"/>
      <color indexed="64"/>
      <name val="Tahoma"/>
      <family val="2"/>
    </font>
    <font>
      <b/>
      <sz val="8"/>
      <color theme="0"/>
      <name val="Tahoma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49" fontId="3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14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horizontal="left" vertical="top" wrapText="1"/>
    </xf>
    <xf numFmtId="0" fontId="0" fillId="0" borderId="0" xfId="0" applyNumberFormat="1"/>
    <xf numFmtId="0" fontId="4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vertical="top"/>
    </xf>
    <xf numFmtId="14" fontId="3" fillId="0" borderId="0" xfId="0" applyNumberFormat="1" applyFont="1" applyAlignment="1">
      <alignment horizontal="left" vertical="top" wrapText="1"/>
    </xf>
    <xf numFmtId="49" fontId="5" fillId="0" borderId="0" xfId="1" applyNumberFormat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64"/>
        <name val="Tahoma"/>
        <family val="2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family val="2"/>
        <scheme val="none"/>
      </font>
      <numFmt numFmtId="30" formatCode="@"/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O221" totalsRowShown="0" headerRowDxfId="16" dataDxfId="15">
  <autoFilter ref="A2:O221" xr:uid="{00000000-0009-0000-0100-000001000000}"/>
  <sortState ref="A3:O221">
    <sortCondition ref="D2:D221"/>
  </sortState>
  <tableColumns count="15">
    <tableColumn id="2" xr3:uid="{00000000-0010-0000-0000-000002000000}" name="CNPJ" dataDxfId="14"/>
    <tableColumn id="15" xr3:uid="{00000000-0010-0000-0000-00000F000000}" name="Razao Social" dataDxfId="13"/>
    <tableColumn id="1" xr3:uid="{99DD564B-8E89-46D2-9819-E5960218C8A7}" name="Regime" dataDxfId="12">
      <calculatedColumnFormula>MID(Tabela1[[#This Row],[Tributacao]],1,6)</calculatedColumnFormula>
    </tableColumn>
    <tableColumn id="19" xr3:uid="{00000000-0010-0000-0000-000013000000}" name="Tributacao" dataDxfId="11"/>
    <tableColumn id="3" xr3:uid="{00000000-0010-0000-0000-000003000000}" name="IE" dataDxfId="10"/>
    <tableColumn id="4" xr3:uid="{00000000-0010-0000-0000-000004000000}" name="IM" dataDxfId="9"/>
    <tableColumn id="5" xr3:uid="{00000000-0010-0000-0000-000005000000}" name="NIRE" dataDxfId="8"/>
    <tableColumn id="6" xr3:uid="{00000000-0010-0000-0000-000006000000}" name="Ramo atividade" dataDxfId="7"/>
    <tableColumn id="8" xr3:uid="{00000000-0010-0000-0000-000008000000}" name="Responsável" dataDxfId="6"/>
    <tableColumn id="9" xr3:uid="{00000000-0010-0000-0000-000009000000}" name="e-mail" dataDxfId="5"/>
    <tableColumn id="11" xr3:uid="{00000000-0010-0000-0000-00000B000000}" name="Municipio" dataDxfId="4"/>
    <tableColumn id="12" xr3:uid="{00000000-0010-0000-0000-00000C000000}" name="Data de Cadastro" dataDxfId="3"/>
    <tableColumn id="17" xr3:uid="{00000000-0010-0000-0000-000011000000}" name="CPF" dataDxfId="2"/>
    <tableColumn id="18" xr3:uid="{00000000-0010-0000-0000-000012000000}" name="Senha" dataDxfId="1">
      <calculatedColumnFormula>MID(M3,1,6)</calculatedColumnFormula>
    </tableColumn>
    <tableColumn id="20" xr3:uid="{00000000-0010-0000-0000-000014000000}" name="Cadastro JETT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tbproducoesartisticasltd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1"/>
  <sheetViews>
    <sheetView showGridLines="0" tabSelected="1" workbookViewId="0">
      <selection activeCell="E11" sqref="E11"/>
    </sheetView>
  </sheetViews>
  <sheetFormatPr defaultRowHeight="13.2" x14ac:dyDescent="0.25"/>
  <cols>
    <col min="1" max="1" width="22.5546875" customWidth="1"/>
    <col min="2" max="2" width="27.6640625" customWidth="1"/>
    <col min="3" max="3" width="27.6640625" style="8" customWidth="1"/>
    <col min="4" max="4" width="29.5546875" style="8" customWidth="1"/>
    <col min="5" max="5" width="22.44140625" style="8" customWidth="1"/>
    <col min="6" max="6" width="18.109375" style="8" customWidth="1"/>
    <col min="7" max="7" width="14" customWidth="1"/>
    <col min="8" max="8" width="31.44140625" customWidth="1"/>
    <col min="9" max="9" width="17.6640625" customWidth="1"/>
    <col min="10" max="10" width="23.5546875" customWidth="1"/>
    <col min="11" max="11" width="18.6640625" customWidth="1"/>
    <col min="12" max="12" width="14.44140625" customWidth="1"/>
    <col min="13" max="13" width="14.21875" customWidth="1"/>
    <col min="14" max="14" width="12.33203125" style="8" customWidth="1"/>
    <col min="15" max="17" width="19.21875" customWidth="1"/>
  </cols>
  <sheetData>
    <row r="1" spans="1:17" ht="15" customHeight="1" x14ac:dyDescent="0.25"/>
    <row r="2" spans="1:17" ht="10.199999999999999" customHeight="1" x14ac:dyDescent="0.25">
      <c r="A2" s="6" t="s">
        <v>1113</v>
      </c>
      <c r="B2" s="6" t="s">
        <v>1289</v>
      </c>
      <c r="C2" s="9" t="s">
        <v>1431</v>
      </c>
      <c r="D2" s="9" t="s">
        <v>1290</v>
      </c>
      <c r="E2" s="9" t="s">
        <v>1291</v>
      </c>
      <c r="F2" s="9" t="s">
        <v>1292</v>
      </c>
      <c r="G2" s="7" t="s">
        <v>1293</v>
      </c>
      <c r="H2" s="7" t="s">
        <v>1</v>
      </c>
      <c r="I2" s="7" t="s">
        <v>2</v>
      </c>
      <c r="J2" s="7" t="s">
        <v>1288</v>
      </c>
      <c r="K2" s="7" t="s">
        <v>1294</v>
      </c>
      <c r="L2" s="6" t="s">
        <v>1295</v>
      </c>
      <c r="M2" s="7" t="s">
        <v>1276</v>
      </c>
      <c r="N2" s="12" t="s">
        <v>1287</v>
      </c>
      <c r="O2" s="7" t="s">
        <v>1296</v>
      </c>
      <c r="P2" s="7"/>
      <c r="Q2" s="7"/>
    </row>
    <row r="3" spans="1:17" ht="10.199999999999999" customHeight="1" x14ac:dyDescent="0.25">
      <c r="A3" s="4" t="s">
        <v>1012</v>
      </c>
      <c r="B3" s="4" t="s">
        <v>1011</v>
      </c>
      <c r="C3" s="10" t="s">
        <v>1432</v>
      </c>
      <c r="D3" s="10" t="s">
        <v>1430</v>
      </c>
      <c r="E3" s="10" t="s">
        <v>1370</v>
      </c>
      <c r="F3" s="4">
        <v>516</v>
      </c>
      <c r="G3" s="1" t="s">
        <v>1013</v>
      </c>
      <c r="H3" s="1" t="s">
        <v>132</v>
      </c>
      <c r="I3" s="1" t="s">
        <v>130</v>
      </c>
      <c r="J3" s="1" t="s">
        <v>131</v>
      </c>
      <c r="K3" s="1" t="s">
        <v>1014</v>
      </c>
      <c r="L3" s="5">
        <v>36735</v>
      </c>
      <c r="M3" s="11" t="s">
        <v>1124</v>
      </c>
      <c r="N3" s="11" t="str">
        <f t="shared" ref="N3:N66" si="0">MID(M3,1,6)</f>
        <v>664164</v>
      </c>
      <c r="O3" s="14">
        <v>45658</v>
      </c>
      <c r="P3" s="14"/>
      <c r="Q3" s="14"/>
    </row>
    <row r="4" spans="1:17" ht="10.199999999999999" customHeight="1" x14ac:dyDescent="0.25">
      <c r="A4" s="4" t="s">
        <v>1017</v>
      </c>
      <c r="B4" s="4" t="s">
        <v>1011</v>
      </c>
      <c r="C4" s="10" t="s">
        <v>1432</v>
      </c>
      <c r="D4" s="10" t="s">
        <v>1430</v>
      </c>
      <c r="E4" s="10" t="s">
        <v>1371</v>
      </c>
      <c r="F4" s="4">
        <v>4501</v>
      </c>
      <c r="G4" s="1" t="s">
        <v>1018</v>
      </c>
      <c r="H4" s="1" t="s">
        <v>132</v>
      </c>
      <c r="I4" s="1" t="s">
        <v>130</v>
      </c>
      <c r="J4" s="1" t="s">
        <v>131</v>
      </c>
      <c r="K4" s="1" t="s">
        <v>186</v>
      </c>
      <c r="L4" s="5">
        <v>38036</v>
      </c>
      <c r="M4" s="11" t="s">
        <v>1124</v>
      </c>
      <c r="N4" s="11" t="str">
        <f t="shared" si="0"/>
        <v>664164</v>
      </c>
      <c r="O4" s="14">
        <v>45658</v>
      </c>
      <c r="P4" s="14"/>
      <c r="Q4" s="14"/>
    </row>
    <row r="5" spans="1:17" ht="10.199999999999999" customHeight="1" x14ac:dyDescent="0.25">
      <c r="A5" s="4" t="s">
        <v>527</v>
      </c>
      <c r="B5" s="4" t="s">
        <v>530</v>
      </c>
      <c r="C5" s="10" t="s">
        <v>1432</v>
      </c>
      <c r="D5" s="10" t="s">
        <v>1429</v>
      </c>
      <c r="E5" s="10">
        <v>0</v>
      </c>
      <c r="F5" s="4" t="s">
        <v>1433</v>
      </c>
      <c r="G5" s="1" t="s">
        <v>3</v>
      </c>
      <c r="H5" s="1" t="s">
        <v>529</v>
      </c>
      <c r="I5" s="1" t="s">
        <v>519</v>
      </c>
      <c r="J5" s="1" t="s">
        <v>3</v>
      </c>
      <c r="K5" s="1" t="s">
        <v>526</v>
      </c>
      <c r="L5" s="5">
        <v>44642</v>
      </c>
      <c r="M5" s="11" t="s">
        <v>1213</v>
      </c>
      <c r="N5" s="11" t="str">
        <f t="shared" si="0"/>
        <v>818189</v>
      </c>
      <c r="O5" s="14">
        <v>45658</v>
      </c>
      <c r="P5" s="14"/>
      <c r="Q5" s="14"/>
    </row>
    <row r="6" spans="1:17" ht="10.199999999999999" customHeight="1" x14ac:dyDescent="0.25">
      <c r="A6" s="4" t="s">
        <v>518</v>
      </c>
      <c r="B6" s="4" t="s">
        <v>522</v>
      </c>
      <c r="C6" s="10" t="s">
        <v>1432</v>
      </c>
      <c r="D6" s="10" t="s">
        <v>1429</v>
      </c>
      <c r="E6" s="10" t="s">
        <v>1352</v>
      </c>
      <c r="F6" s="4">
        <v>15400</v>
      </c>
      <c r="G6" s="1" t="s">
        <v>3</v>
      </c>
      <c r="H6" s="1" t="s">
        <v>520</v>
      </c>
      <c r="I6" s="1" t="s">
        <v>519</v>
      </c>
      <c r="J6" s="1" t="s">
        <v>3</v>
      </c>
      <c r="K6" s="1" t="s">
        <v>521</v>
      </c>
      <c r="L6" s="5">
        <v>44203</v>
      </c>
      <c r="M6" s="11" t="s">
        <v>1213</v>
      </c>
      <c r="N6" s="11" t="str">
        <f t="shared" si="0"/>
        <v>818189</v>
      </c>
      <c r="O6" s="14">
        <v>45658</v>
      </c>
      <c r="P6" s="14"/>
      <c r="Q6" s="14"/>
    </row>
    <row r="7" spans="1:17" ht="10.199999999999999" customHeight="1" x14ac:dyDescent="0.25">
      <c r="A7" s="4" t="s">
        <v>527</v>
      </c>
      <c r="B7" s="4" t="s">
        <v>522</v>
      </c>
      <c r="C7" s="10" t="s">
        <v>1432</v>
      </c>
      <c r="D7" s="10" t="s">
        <v>1429</v>
      </c>
      <c r="E7" s="10">
        <v>0</v>
      </c>
      <c r="F7" s="4" t="s">
        <v>1433</v>
      </c>
      <c r="G7" s="1" t="s">
        <v>3</v>
      </c>
      <c r="H7" s="1" t="s">
        <v>160</v>
      </c>
      <c r="I7" s="1" t="s">
        <v>519</v>
      </c>
      <c r="J7" s="1" t="s">
        <v>528</v>
      </c>
      <c r="K7" s="1" t="s">
        <v>4</v>
      </c>
      <c r="L7" s="5">
        <v>44041</v>
      </c>
      <c r="M7" s="11" t="s">
        <v>1213</v>
      </c>
      <c r="N7" s="11" t="str">
        <f t="shared" si="0"/>
        <v>818189</v>
      </c>
      <c r="O7" s="14">
        <v>45658</v>
      </c>
      <c r="P7" s="14"/>
      <c r="Q7" s="14"/>
    </row>
    <row r="8" spans="1:17" ht="10.199999999999999" customHeight="1" x14ac:dyDescent="0.25">
      <c r="A8" s="4" t="s">
        <v>194</v>
      </c>
      <c r="B8" s="4" t="s">
        <v>199</v>
      </c>
      <c r="C8" s="10" t="s">
        <v>1432</v>
      </c>
      <c r="D8" s="10" t="s">
        <v>1429</v>
      </c>
      <c r="E8" s="10" t="s">
        <v>1406</v>
      </c>
      <c r="F8" s="4">
        <v>53913</v>
      </c>
      <c r="G8" s="1" t="s">
        <v>197</v>
      </c>
      <c r="H8" s="1" t="s">
        <v>198</v>
      </c>
      <c r="I8" s="1" t="s">
        <v>195</v>
      </c>
      <c r="J8" s="1" t="s">
        <v>196</v>
      </c>
      <c r="K8" s="1" t="s">
        <v>4</v>
      </c>
      <c r="L8" s="5">
        <v>41741</v>
      </c>
      <c r="M8" s="11" t="s">
        <v>1123</v>
      </c>
      <c r="N8" s="11" t="str">
        <f t="shared" si="0"/>
        <v>302404</v>
      </c>
      <c r="O8" s="14">
        <v>45658</v>
      </c>
      <c r="P8" s="14"/>
      <c r="Q8" s="14"/>
    </row>
    <row r="9" spans="1:17" ht="10.199999999999999" customHeight="1" x14ac:dyDescent="0.25">
      <c r="A9" s="4" t="s">
        <v>1069</v>
      </c>
      <c r="B9" s="4" t="s">
        <v>1072</v>
      </c>
      <c r="C9" s="10" t="str">
        <f>MID(Tabela1[[#This Row],[Tributacao]],1,5)</f>
        <v>Imune</v>
      </c>
      <c r="D9" s="10" t="s">
        <v>1114</v>
      </c>
      <c r="E9" s="10" t="s">
        <v>1316</v>
      </c>
      <c r="F9" s="4">
        <v>674</v>
      </c>
      <c r="G9" s="1" t="s">
        <v>3</v>
      </c>
      <c r="H9" s="1" t="s">
        <v>1038</v>
      </c>
      <c r="I9" s="1" t="s">
        <v>1070</v>
      </c>
      <c r="J9" s="1" t="s">
        <v>1071</v>
      </c>
      <c r="K9" s="1" t="s">
        <v>208</v>
      </c>
      <c r="L9" s="5" t="s">
        <v>3</v>
      </c>
      <c r="M9" s="11" t="s">
        <v>1147</v>
      </c>
      <c r="N9" s="11" t="str">
        <f t="shared" si="0"/>
        <v>879889</v>
      </c>
      <c r="O9" s="14">
        <v>45658</v>
      </c>
      <c r="P9" s="14"/>
      <c r="Q9" s="14"/>
    </row>
    <row r="10" spans="1:17" ht="10.199999999999999" customHeight="1" x14ac:dyDescent="0.25">
      <c r="A10" s="4" t="s">
        <v>1035</v>
      </c>
      <c r="B10" s="4" t="s">
        <v>1039</v>
      </c>
      <c r="C10" s="10" t="str">
        <f>MID(Tabela1[[#This Row],[Tributacao]],1,5)</f>
        <v>Imune</v>
      </c>
      <c r="D10" s="10" t="s">
        <v>1114</v>
      </c>
      <c r="E10" s="10">
        <v>0</v>
      </c>
      <c r="F10" s="4">
        <v>1669</v>
      </c>
      <c r="G10" s="1" t="s">
        <v>3</v>
      </c>
      <c r="H10" s="1" t="s">
        <v>1038</v>
      </c>
      <c r="I10" s="1" t="s">
        <v>1036</v>
      </c>
      <c r="J10" s="1" t="s">
        <v>1037</v>
      </c>
      <c r="K10" s="1" t="s">
        <v>208</v>
      </c>
      <c r="L10" s="5" t="s">
        <v>3</v>
      </c>
      <c r="M10" s="11" t="s">
        <v>1148</v>
      </c>
      <c r="N10" s="11" t="str">
        <f t="shared" si="0"/>
        <v>130328</v>
      </c>
      <c r="O10" s="14">
        <v>45658</v>
      </c>
      <c r="P10" s="14"/>
      <c r="Q10" s="14"/>
    </row>
    <row r="11" spans="1:17" ht="10.199999999999999" customHeight="1" x14ac:dyDescent="0.25">
      <c r="A11" s="4" t="s">
        <v>11</v>
      </c>
      <c r="B11" s="4" t="s">
        <v>15</v>
      </c>
      <c r="C11" s="10" t="str">
        <f>MID(Tabela1[[#This Row],[Tributacao]],1,5)</f>
        <v>Imune</v>
      </c>
      <c r="D11" s="10" t="s">
        <v>1114</v>
      </c>
      <c r="E11" s="10">
        <v>0</v>
      </c>
      <c r="F11" s="4" t="s">
        <v>1428</v>
      </c>
      <c r="G11" s="1" t="s">
        <v>3</v>
      </c>
      <c r="H11" s="1" t="s">
        <v>14</v>
      </c>
      <c r="I11" s="1" t="s">
        <v>12</v>
      </c>
      <c r="J11" s="1" t="s">
        <v>13</v>
      </c>
      <c r="K11" s="1" t="s">
        <v>4</v>
      </c>
      <c r="L11" s="5">
        <v>40665</v>
      </c>
      <c r="M11" s="11" t="s">
        <v>1149</v>
      </c>
      <c r="N11" s="11" t="str">
        <f t="shared" si="0"/>
        <v>792729</v>
      </c>
      <c r="O11" s="14">
        <v>45658</v>
      </c>
      <c r="P11" s="14"/>
      <c r="Q11" s="14"/>
    </row>
    <row r="12" spans="1:17" ht="10.199999999999999" customHeight="1" x14ac:dyDescent="0.25">
      <c r="A12" s="4" t="s">
        <v>706</v>
      </c>
      <c r="B12" s="4" t="s">
        <v>712</v>
      </c>
      <c r="C12" s="10" t="str">
        <f>MID(Tabela1[[#This Row],[Tributacao]],1,15)</f>
        <v>Lucro Presumido</v>
      </c>
      <c r="D12" s="10" t="s">
        <v>1281</v>
      </c>
      <c r="E12" s="10" t="s">
        <v>1302</v>
      </c>
      <c r="F12" s="4">
        <v>2010130130</v>
      </c>
      <c r="G12" s="1" t="s">
        <v>709</v>
      </c>
      <c r="H12" s="1" t="s">
        <v>710</v>
      </c>
      <c r="I12" s="1" t="s">
        <v>707</v>
      </c>
      <c r="J12" s="1" t="s">
        <v>708</v>
      </c>
      <c r="K12" s="1" t="s">
        <v>711</v>
      </c>
      <c r="L12" s="5">
        <v>45091</v>
      </c>
      <c r="M12" s="11" t="s">
        <v>1238</v>
      </c>
      <c r="N12" s="11" t="str">
        <f t="shared" si="0"/>
        <v>808634</v>
      </c>
      <c r="O12" s="14">
        <v>45658</v>
      </c>
      <c r="P12" s="14"/>
      <c r="Q12" s="14"/>
    </row>
    <row r="13" spans="1:17" ht="10.199999999999999" customHeight="1" x14ac:dyDescent="0.25">
      <c r="A13" s="4" t="s">
        <v>962</v>
      </c>
      <c r="B13" s="4" t="s">
        <v>964</v>
      </c>
      <c r="C13" s="10" t="str">
        <f>MID(Tabela1[[#This Row],[Tributacao]],1,15)</f>
        <v>Lucro Presumido</v>
      </c>
      <c r="D13" s="10" t="s">
        <v>1281</v>
      </c>
      <c r="E13" s="10" t="s">
        <v>1303</v>
      </c>
      <c r="F13" s="4">
        <v>50073</v>
      </c>
      <c r="G13" s="1" t="s">
        <v>963</v>
      </c>
      <c r="H13" s="1" t="s">
        <v>424</v>
      </c>
      <c r="I13" s="1" t="s">
        <v>238</v>
      </c>
      <c r="J13" s="1" t="s">
        <v>957</v>
      </c>
      <c r="K13" s="1" t="s">
        <v>29</v>
      </c>
      <c r="L13" s="5">
        <v>37419</v>
      </c>
      <c r="M13" s="11" t="s">
        <v>1133</v>
      </c>
      <c r="N13" s="11" t="str">
        <f t="shared" si="0"/>
        <v>095078</v>
      </c>
      <c r="O13" s="14">
        <v>45658</v>
      </c>
      <c r="P13" s="14"/>
      <c r="Q13" s="14"/>
    </row>
    <row r="14" spans="1:17" ht="10.199999999999999" customHeight="1" x14ac:dyDescent="0.25">
      <c r="A14" s="4" t="s">
        <v>821</v>
      </c>
      <c r="B14" s="4" t="s">
        <v>825</v>
      </c>
      <c r="C14" s="10" t="str">
        <f>MID(Tabela1[[#This Row],[Tributacao]],1,15)</f>
        <v>Lucro Presumido</v>
      </c>
      <c r="D14" s="10" t="s">
        <v>1281</v>
      </c>
      <c r="E14" s="10" t="s">
        <v>1306</v>
      </c>
      <c r="F14" s="4" t="s">
        <v>1307</v>
      </c>
      <c r="G14" s="1" t="s">
        <v>824</v>
      </c>
      <c r="H14" s="1" t="s">
        <v>53</v>
      </c>
      <c r="I14" s="1" t="s">
        <v>822</v>
      </c>
      <c r="J14" s="1" t="s">
        <v>823</v>
      </c>
      <c r="K14" s="1" t="s">
        <v>4</v>
      </c>
      <c r="L14" s="5">
        <v>43593</v>
      </c>
      <c r="M14" s="11" t="s">
        <v>1120</v>
      </c>
      <c r="N14" s="11" t="str">
        <f t="shared" si="0"/>
        <v>349651</v>
      </c>
      <c r="O14" s="14">
        <v>45658</v>
      </c>
      <c r="P14" s="14"/>
      <c r="Q14" s="14"/>
    </row>
    <row r="15" spans="1:17" ht="10.199999999999999" customHeight="1" x14ac:dyDescent="0.25">
      <c r="A15" s="4" t="s">
        <v>487</v>
      </c>
      <c r="B15" s="4" t="s">
        <v>489</v>
      </c>
      <c r="C15" s="10" t="str">
        <f>MID(Tabela1[[#This Row],[Tributacao]],1,15)</f>
        <v>Lucro Presumido</v>
      </c>
      <c r="D15" s="10" t="s">
        <v>1281</v>
      </c>
      <c r="E15" s="10" t="s">
        <v>1311</v>
      </c>
      <c r="F15" s="4">
        <v>97792</v>
      </c>
      <c r="G15" s="1" t="s">
        <v>488</v>
      </c>
      <c r="H15" s="1" t="s">
        <v>166</v>
      </c>
      <c r="I15" s="1" t="s">
        <v>163</v>
      </c>
      <c r="J15" s="1" t="s">
        <v>164</v>
      </c>
      <c r="K15" s="1" t="s">
        <v>4</v>
      </c>
      <c r="L15" s="5">
        <v>44293</v>
      </c>
      <c r="M15" s="11" t="s">
        <v>1210</v>
      </c>
      <c r="N15" s="11" t="str">
        <f t="shared" si="0"/>
        <v>752014</v>
      </c>
      <c r="O15" s="14">
        <v>45658</v>
      </c>
      <c r="P15" s="14"/>
      <c r="Q15" s="14"/>
    </row>
    <row r="16" spans="1:17" ht="10.199999999999999" customHeight="1" x14ac:dyDescent="0.25">
      <c r="A16" s="4" t="s">
        <v>918</v>
      </c>
      <c r="B16" s="4" t="s">
        <v>919</v>
      </c>
      <c r="C16" s="10" t="str">
        <f>MID(Tabela1[[#This Row],[Tributacao]],1,15)</f>
        <v>Lucro Presumido</v>
      </c>
      <c r="D16" s="10" t="s">
        <v>1281</v>
      </c>
      <c r="E16" s="10" t="s">
        <v>1333</v>
      </c>
      <c r="F16" s="4">
        <v>127467</v>
      </c>
      <c r="G16" s="1" t="s">
        <v>3</v>
      </c>
      <c r="H16" s="1" t="s">
        <v>166</v>
      </c>
      <c r="I16" s="1" t="s">
        <v>412</v>
      </c>
      <c r="J16" s="1" t="s">
        <v>413</v>
      </c>
      <c r="K16" s="1" t="s">
        <v>4</v>
      </c>
      <c r="L16" s="5">
        <v>45898</v>
      </c>
      <c r="M16" s="11" t="s">
        <v>1166</v>
      </c>
      <c r="N16" s="11" t="str">
        <f t="shared" si="0"/>
        <v>793155</v>
      </c>
      <c r="O16" s="14">
        <f>L16</f>
        <v>45898</v>
      </c>
      <c r="P16" s="14"/>
      <c r="Q16" s="14"/>
    </row>
    <row r="17" spans="1:17" ht="10.199999999999999" customHeight="1" x14ac:dyDescent="0.25">
      <c r="A17" s="4" t="s">
        <v>411</v>
      </c>
      <c r="B17" s="4" t="s">
        <v>415</v>
      </c>
      <c r="C17" s="10" t="str">
        <f>MID(Tabela1[[#This Row],[Tributacao]],1,15)</f>
        <v>Lucro Presumido</v>
      </c>
      <c r="D17" s="10" t="s">
        <v>1281</v>
      </c>
      <c r="E17" s="10" t="s">
        <v>1334</v>
      </c>
      <c r="F17" s="4">
        <v>100743</v>
      </c>
      <c r="G17" s="1" t="s">
        <v>414</v>
      </c>
      <c r="H17" s="1" t="s">
        <v>247</v>
      </c>
      <c r="I17" s="1" t="s">
        <v>412</v>
      </c>
      <c r="J17" s="1" t="s">
        <v>413</v>
      </c>
      <c r="K17" s="1" t="s">
        <v>4</v>
      </c>
      <c r="L17" s="5">
        <v>43727</v>
      </c>
      <c r="M17" s="11" t="s">
        <v>1166</v>
      </c>
      <c r="N17" s="11" t="str">
        <f t="shared" si="0"/>
        <v>793155</v>
      </c>
      <c r="O17" s="14">
        <v>45658</v>
      </c>
      <c r="P17" s="14"/>
      <c r="Q17" s="14"/>
    </row>
    <row r="18" spans="1:17" ht="10.199999999999999" customHeight="1" x14ac:dyDescent="0.25">
      <c r="A18" s="4" t="s">
        <v>397</v>
      </c>
      <c r="B18" s="4" t="s">
        <v>401</v>
      </c>
      <c r="C18" s="10" t="str">
        <f>MID(Tabela1[[#This Row],[Tributacao]],1,15)</f>
        <v>Lucro Presumido</v>
      </c>
      <c r="D18" s="10" t="s">
        <v>1281</v>
      </c>
      <c r="E18" s="10" t="s">
        <v>1350</v>
      </c>
      <c r="F18" s="4">
        <v>90726</v>
      </c>
      <c r="G18" s="1" t="s">
        <v>400</v>
      </c>
      <c r="H18" s="1" t="s">
        <v>105</v>
      </c>
      <c r="I18" s="1" t="s">
        <v>398</v>
      </c>
      <c r="J18" s="1" t="s">
        <v>399</v>
      </c>
      <c r="K18" s="1" t="s">
        <v>4</v>
      </c>
      <c r="L18" s="5">
        <v>43671</v>
      </c>
      <c r="M18" s="11" t="s">
        <v>1197</v>
      </c>
      <c r="N18" s="11" t="str">
        <f t="shared" si="0"/>
        <v>049084</v>
      </c>
      <c r="O18" s="14">
        <v>45658</v>
      </c>
      <c r="P18" s="14"/>
      <c r="Q18" s="14"/>
    </row>
    <row r="19" spans="1:17" ht="10.199999999999999" customHeight="1" x14ac:dyDescent="0.25">
      <c r="A19" s="4" t="s">
        <v>630</v>
      </c>
      <c r="B19" s="4" t="s">
        <v>634</v>
      </c>
      <c r="C19" s="10" t="str">
        <f>MID(Tabela1[[#This Row],[Tributacao]],1,15)</f>
        <v>Lucro Presumido</v>
      </c>
      <c r="D19" s="10" t="s">
        <v>1281</v>
      </c>
      <c r="E19" s="10" t="s">
        <v>1359</v>
      </c>
      <c r="F19" s="4">
        <v>75751</v>
      </c>
      <c r="G19" s="1" t="s">
        <v>633</v>
      </c>
      <c r="H19" s="1" t="s">
        <v>118</v>
      </c>
      <c r="I19" s="1" t="s">
        <v>631</v>
      </c>
      <c r="J19" s="1" t="s">
        <v>632</v>
      </c>
      <c r="K19" s="1" t="s">
        <v>4</v>
      </c>
      <c r="L19" s="5">
        <v>43663</v>
      </c>
      <c r="M19" s="11" t="s">
        <v>1226</v>
      </c>
      <c r="N19" s="11" t="str">
        <f t="shared" si="0"/>
        <v>731018</v>
      </c>
      <c r="O19" s="14">
        <v>45658</v>
      </c>
      <c r="P19" s="14"/>
      <c r="Q19" s="14"/>
    </row>
    <row r="20" spans="1:17" ht="10.199999999999999" customHeight="1" x14ac:dyDescent="0.25">
      <c r="A20" s="4" t="s">
        <v>447</v>
      </c>
      <c r="B20" s="4" t="s">
        <v>450</v>
      </c>
      <c r="C20" s="10" t="str">
        <f>MID(Tabela1[[#This Row],[Tributacao]],1,15)</f>
        <v>Lucro Presumido</v>
      </c>
      <c r="D20" s="10" t="s">
        <v>1281</v>
      </c>
      <c r="E20" s="10" t="s">
        <v>1383</v>
      </c>
      <c r="F20" s="4">
        <v>66448</v>
      </c>
      <c r="G20" s="1" t="s">
        <v>449</v>
      </c>
      <c r="H20" s="1" t="s">
        <v>132</v>
      </c>
      <c r="I20" s="1" t="s">
        <v>448</v>
      </c>
      <c r="J20" s="1" t="s">
        <v>9</v>
      </c>
      <c r="K20" s="1" t="s">
        <v>4</v>
      </c>
      <c r="L20" s="5">
        <v>43910</v>
      </c>
      <c r="M20" s="11" t="s">
        <v>1202</v>
      </c>
      <c r="N20" s="11" t="str">
        <f t="shared" si="0"/>
        <v>479770</v>
      </c>
      <c r="O20" s="14">
        <v>45658</v>
      </c>
      <c r="P20" s="14"/>
      <c r="Q20" s="14"/>
    </row>
    <row r="21" spans="1:17" ht="10.199999999999999" customHeight="1" x14ac:dyDescent="0.25">
      <c r="A21" s="4" t="s">
        <v>843</v>
      </c>
      <c r="B21" s="4" t="s">
        <v>846</v>
      </c>
      <c r="C21" s="10" t="str">
        <f>MID(Tabela1[[#This Row],[Tributacao]],1,15)</f>
        <v>Lucro Presumido</v>
      </c>
      <c r="D21" s="10" t="s">
        <v>1281</v>
      </c>
      <c r="E21" s="10" t="s">
        <v>844</v>
      </c>
      <c r="F21" s="4">
        <v>10036</v>
      </c>
      <c r="G21" s="1" t="s">
        <v>845</v>
      </c>
      <c r="H21" s="1" t="s">
        <v>166</v>
      </c>
      <c r="I21" s="1" t="s">
        <v>481</v>
      </c>
      <c r="J21" s="1" t="s">
        <v>482</v>
      </c>
      <c r="K21" s="1" t="s">
        <v>208</v>
      </c>
      <c r="L21" s="5">
        <v>45601</v>
      </c>
      <c r="M21" s="11" t="s">
        <v>1138</v>
      </c>
      <c r="N21" s="11" t="str">
        <f t="shared" si="0"/>
        <v>169961</v>
      </c>
      <c r="O21" s="14">
        <v>45658</v>
      </c>
      <c r="P21" s="14"/>
      <c r="Q21" s="14"/>
    </row>
    <row r="22" spans="1:17" ht="10.199999999999999" customHeight="1" x14ac:dyDescent="0.25">
      <c r="A22" s="4" t="s">
        <v>162</v>
      </c>
      <c r="B22" s="4" t="s">
        <v>167</v>
      </c>
      <c r="C22" s="10" t="str">
        <f>MID(Tabela1[[#This Row],[Tributacao]],1,15)</f>
        <v>Lucro Presumido</v>
      </c>
      <c r="D22" s="10" t="s">
        <v>1281</v>
      </c>
      <c r="E22" s="10" t="s">
        <v>1397</v>
      </c>
      <c r="F22" s="4">
        <v>70841</v>
      </c>
      <c r="G22" s="1" t="s">
        <v>165</v>
      </c>
      <c r="H22" s="1" t="s">
        <v>166</v>
      </c>
      <c r="I22" s="1" t="s">
        <v>163</v>
      </c>
      <c r="J22" s="1" t="s">
        <v>164</v>
      </c>
      <c r="K22" s="1" t="s">
        <v>4</v>
      </c>
      <c r="L22" s="5">
        <v>41512</v>
      </c>
      <c r="M22" s="11" t="s">
        <v>1210</v>
      </c>
      <c r="N22" s="11" t="str">
        <f t="shared" si="0"/>
        <v>752014</v>
      </c>
      <c r="O22" s="14">
        <v>45658</v>
      </c>
      <c r="P22" s="14"/>
      <c r="Q22" s="14"/>
    </row>
    <row r="23" spans="1:17" ht="10.199999999999999" customHeight="1" x14ac:dyDescent="0.25">
      <c r="A23" s="4" t="s">
        <v>1032</v>
      </c>
      <c r="B23" s="4" t="s">
        <v>1034</v>
      </c>
      <c r="C23" s="10" t="str">
        <f>MID(Tabela1[[#This Row],[Tributacao]],1,15)</f>
        <v>Lucro Presumido</v>
      </c>
      <c r="D23" s="10" t="s">
        <v>1281</v>
      </c>
      <c r="E23" s="10" t="s">
        <v>1405</v>
      </c>
      <c r="F23" s="4">
        <v>51185</v>
      </c>
      <c r="G23" s="1" t="s">
        <v>1033</v>
      </c>
      <c r="H23" s="1" t="s">
        <v>132</v>
      </c>
      <c r="I23" s="1" t="s">
        <v>8</v>
      </c>
      <c r="J23" s="1" t="s">
        <v>9</v>
      </c>
      <c r="K23" s="1" t="s">
        <v>4</v>
      </c>
      <c r="L23" s="5">
        <v>37474</v>
      </c>
      <c r="M23" s="11" t="s">
        <v>1145</v>
      </c>
      <c r="N23" s="11" t="str">
        <f t="shared" si="0"/>
        <v>548169</v>
      </c>
      <c r="O23" s="14">
        <v>45658</v>
      </c>
      <c r="P23" s="14"/>
      <c r="Q23" s="14"/>
    </row>
    <row r="24" spans="1:17" ht="10.199999999999999" customHeight="1" x14ac:dyDescent="0.25">
      <c r="A24" s="4" t="s">
        <v>643</v>
      </c>
      <c r="B24" s="4" t="s">
        <v>646</v>
      </c>
      <c r="C24" s="10" t="str">
        <f>MID(Tabela1[[#This Row],[Tributacao]],1,15)</f>
        <v>Lucro Presumido</v>
      </c>
      <c r="D24" s="10" t="s">
        <v>1281</v>
      </c>
      <c r="E24" s="10" t="s">
        <v>1412</v>
      </c>
      <c r="F24" s="4">
        <v>108735</v>
      </c>
      <c r="G24" s="1" t="s">
        <v>645</v>
      </c>
      <c r="H24" s="1" t="s">
        <v>317</v>
      </c>
      <c r="I24" s="1" t="s">
        <v>75</v>
      </c>
      <c r="J24" s="1" t="s">
        <v>644</v>
      </c>
      <c r="K24" s="1" t="s">
        <v>4</v>
      </c>
      <c r="L24" s="5">
        <v>44988</v>
      </c>
      <c r="M24" s="11" t="s">
        <v>1125</v>
      </c>
      <c r="N24" s="11" t="str">
        <f t="shared" si="0"/>
        <v>272268</v>
      </c>
      <c r="O24" s="14">
        <v>45658</v>
      </c>
      <c r="P24" s="14"/>
      <c r="Q24" s="14"/>
    </row>
    <row r="25" spans="1:17" ht="10.199999999999999" customHeight="1" x14ac:dyDescent="0.25">
      <c r="A25" s="4" t="s">
        <v>333</v>
      </c>
      <c r="B25" s="4" t="s">
        <v>337</v>
      </c>
      <c r="C25" s="10" t="str">
        <f>MID(Tabela1[[#This Row],[Tributacao]],1,15)</f>
        <v>Lucro Presumido</v>
      </c>
      <c r="D25" s="10" t="s">
        <v>1281</v>
      </c>
      <c r="E25" s="10" t="s">
        <v>1413</v>
      </c>
      <c r="F25" s="4">
        <v>86814</v>
      </c>
      <c r="G25" s="1" t="s">
        <v>336</v>
      </c>
      <c r="H25" s="1" t="s">
        <v>91</v>
      </c>
      <c r="I25" s="1" t="s">
        <v>334</v>
      </c>
      <c r="J25" s="1" t="s">
        <v>335</v>
      </c>
      <c r="K25" s="1" t="s">
        <v>4</v>
      </c>
      <c r="L25" s="5">
        <v>43257</v>
      </c>
      <c r="M25" s="11" t="s">
        <v>1188</v>
      </c>
      <c r="N25" s="11" t="str">
        <f t="shared" si="0"/>
        <v>331848</v>
      </c>
      <c r="O25" s="14">
        <v>45658</v>
      </c>
      <c r="P25" s="14"/>
      <c r="Q25" s="14"/>
    </row>
    <row r="26" spans="1:17" ht="10.199999999999999" customHeight="1" x14ac:dyDescent="0.25">
      <c r="A26" s="4" t="s">
        <v>1063</v>
      </c>
      <c r="B26" s="4" t="s">
        <v>1068</v>
      </c>
      <c r="C26" s="10" t="str">
        <f>MID(Tabela1[[#This Row],[Tributacao]],1,15)</f>
        <v>Lucro Presumido</v>
      </c>
      <c r="D26" s="10" t="s">
        <v>1285</v>
      </c>
      <c r="E26" s="10" t="s">
        <v>1358</v>
      </c>
      <c r="F26" s="4">
        <v>38700</v>
      </c>
      <c r="G26" s="1" t="s">
        <v>1066</v>
      </c>
      <c r="H26" s="1" t="s">
        <v>1067</v>
      </c>
      <c r="I26" s="1" t="s">
        <v>1064</v>
      </c>
      <c r="J26" s="1" t="s">
        <v>1065</v>
      </c>
      <c r="K26" s="1" t="s">
        <v>4</v>
      </c>
      <c r="L26" s="5">
        <v>38853</v>
      </c>
      <c r="M26" s="11" t="s">
        <v>1136</v>
      </c>
      <c r="N26" s="11" t="str">
        <f t="shared" si="0"/>
        <v>020224</v>
      </c>
      <c r="O26" s="14">
        <v>45658</v>
      </c>
      <c r="P26" s="14"/>
      <c r="Q26" s="14"/>
    </row>
    <row r="27" spans="1:17" ht="10.199999999999999" customHeight="1" x14ac:dyDescent="0.25">
      <c r="A27" s="4" t="s">
        <v>120</v>
      </c>
      <c r="B27" s="4" t="s">
        <v>125</v>
      </c>
      <c r="C27" s="10" t="str">
        <f>MID(Tabela1[[#This Row],[Tributacao]],1,15)</f>
        <v>Lucro Presumido</v>
      </c>
      <c r="D27" s="10" t="s">
        <v>1285</v>
      </c>
      <c r="E27" s="10" t="s">
        <v>1401</v>
      </c>
      <c r="F27" s="4">
        <v>8549429</v>
      </c>
      <c r="G27" s="1" t="s">
        <v>123</v>
      </c>
      <c r="H27" s="1" t="s">
        <v>124</v>
      </c>
      <c r="I27" s="1" t="s">
        <v>121</v>
      </c>
      <c r="J27" s="1" t="s">
        <v>122</v>
      </c>
      <c r="K27" s="1" t="s">
        <v>6</v>
      </c>
      <c r="L27" s="5">
        <v>39654</v>
      </c>
      <c r="M27" s="11" t="s">
        <v>1164</v>
      </c>
      <c r="N27" s="11" t="str">
        <f t="shared" si="0"/>
        <v>052797</v>
      </c>
      <c r="O27" s="14">
        <v>45658</v>
      </c>
      <c r="P27" s="14"/>
      <c r="Q27" s="14"/>
    </row>
    <row r="28" spans="1:17" ht="10.199999999999999" customHeight="1" x14ac:dyDescent="0.25">
      <c r="A28" s="4" t="s">
        <v>886</v>
      </c>
      <c r="B28" s="4" t="s">
        <v>0</v>
      </c>
      <c r="C28" s="10" t="str">
        <f>MID(Tabela1[[#This Row],[Tributacao]],1,15)</f>
        <v>Lucro Presumido</v>
      </c>
      <c r="D28" s="10" t="s">
        <v>1285</v>
      </c>
      <c r="E28" s="10" t="s">
        <v>1423</v>
      </c>
      <c r="F28" s="4">
        <v>85185</v>
      </c>
      <c r="G28" s="1" t="s">
        <v>3</v>
      </c>
      <c r="H28" s="1" t="s">
        <v>889</v>
      </c>
      <c r="I28" s="1" t="s">
        <v>887</v>
      </c>
      <c r="J28" s="1" t="s">
        <v>888</v>
      </c>
      <c r="K28" s="1" t="s">
        <v>4</v>
      </c>
      <c r="L28" s="5">
        <v>42787</v>
      </c>
      <c r="M28" s="11" t="s">
        <v>1265</v>
      </c>
      <c r="N28" s="11" t="str">
        <f t="shared" si="0"/>
        <v>907894</v>
      </c>
      <c r="O28" s="14">
        <v>45658</v>
      </c>
      <c r="P28" s="14"/>
      <c r="Q28" s="14"/>
    </row>
    <row r="29" spans="1:17" ht="10.199999999999999" customHeight="1" x14ac:dyDescent="0.25">
      <c r="A29" s="4" t="s">
        <v>311</v>
      </c>
      <c r="B29" s="4" t="s">
        <v>315</v>
      </c>
      <c r="C29" s="10" t="str">
        <f>MID(Tabela1[[#This Row],[Tributacao]],1,15)</f>
        <v>Lucro Presumido</v>
      </c>
      <c r="D29" s="10" t="s">
        <v>1283</v>
      </c>
      <c r="E29" s="10">
        <v>0</v>
      </c>
      <c r="F29" s="4">
        <v>82319</v>
      </c>
      <c r="G29" s="1" t="s">
        <v>314</v>
      </c>
      <c r="H29" s="1" t="s">
        <v>245</v>
      </c>
      <c r="I29" s="1" t="s">
        <v>312</v>
      </c>
      <c r="J29" s="1" t="s">
        <v>313</v>
      </c>
      <c r="K29" s="1" t="s">
        <v>4</v>
      </c>
      <c r="L29" s="5">
        <v>42807</v>
      </c>
      <c r="M29" s="11" t="s">
        <v>1185</v>
      </c>
      <c r="N29" s="11" t="str">
        <f t="shared" si="0"/>
        <v>017815</v>
      </c>
      <c r="O29" s="14">
        <v>45658</v>
      </c>
      <c r="P29" s="14"/>
      <c r="Q29" s="14"/>
    </row>
    <row r="30" spans="1:17" ht="10.199999999999999" customHeight="1" x14ac:dyDescent="0.25">
      <c r="A30" s="4" t="s">
        <v>66</v>
      </c>
      <c r="B30" s="4" t="s">
        <v>71</v>
      </c>
      <c r="C30" s="10" t="str">
        <f>MID(Tabela1[[#This Row],[Tributacao]],1,15)</f>
        <v>Lucro Presumido</v>
      </c>
      <c r="D30" s="10" t="s">
        <v>1283</v>
      </c>
      <c r="E30" s="10">
        <v>0</v>
      </c>
      <c r="F30" s="4">
        <v>8550438</v>
      </c>
      <c r="G30" s="1" t="s">
        <v>69</v>
      </c>
      <c r="H30" s="1" t="s">
        <v>70</v>
      </c>
      <c r="I30" s="1" t="s">
        <v>67</v>
      </c>
      <c r="J30" s="1" t="s">
        <v>68</v>
      </c>
      <c r="K30" s="1" t="s">
        <v>6</v>
      </c>
      <c r="L30" s="5">
        <v>40833</v>
      </c>
      <c r="M30" s="11" t="s">
        <v>1139</v>
      </c>
      <c r="N30" s="11" t="str">
        <f t="shared" si="0"/>
        <v>262797</v>
      </c>
      <c r="O30" s="14">
        <v>45658</v>
      </c>
      <c r="P30" s="14"/>
      <c r="Q30" s="14"/>
    </row>
    <row r="31" spans="1:17" ht="10.199999999999999" customHeight="1" x14ac:dyDescent="0.25">
      <c r="A31" s="4" t="s">
        <v>607</v>
      </c>
      <c r="B31" s="4" t="s">
        <v>610</v>
      </c>
      <c r="C31" s="10" t="str">
        <f>MID(Tabela1[[#This Row],[Tributacao]],1,15)</f>
        <v>Lucro Presumido</v>
      </c>
      <c r="D31" s="10" t="s">
        <v>1283</v>
      </c>
      <c r="E31" s="10" t="s">
        <v>1353</v>
      </c>
      <c r="F31" s="4">
        <v>105945</v>
      </c>
      <c r="G31" s="1" t="s">
        <v>609</v>
      </c>
      <c r="H31" s="1" t="s">
        <v>155</v>
      </c>
      <c r="I31" s="1" t="s">
        <v>608</v>
      </c>
      <c r="J31" s="1" t="s">
        <v>346</v>
      </c>
      <c r="K31" s="1" t="s">
        <v>4</v>
      </c>
      <c r="L31" s="5">
        <v>44820</v>
      </c>
      <c r="M31" s="11" t="s">
        <v>1222</v>
      </c>
      <c r="N31" s="11" t="str">
        <f t="shared" si="0"/>
        <v>733048</v>
      </c>
      <c r="O31" s="14">
        <v>45658</v>
      </c>
      <c r="P31" s="14"/>
      <c r="Q31" s="14"/>
    </row>
    <row r="32" spans="1:17" ht="10.199999999999999" customHeight="1" x14ac:dyDescent="0.25">
      <c r="A32" s="4" t="s">
        <v>1026</v>
      </c>
      <c r="B32" s="4" t="s">
        <v>1031</v>
      </c>
      <c r="C32" s="10" t="str">
        <f>MID(Tabela1[[#This Row],[Tributacao]],1,15)</f>
        <v>Lucro Presumido</v>
      </c>
      <c r="D32" s="10" t="s">
        <v>1283</v>
      </c>
      <c r="E32" s="10">
        <v>0</v>
      </c>
      <c r="F32" s="4" t="s">
        <v>1029</v>
      </c>
      <c r="G32" s="1" t="s">
        <v>1030</v>
      </c>
      <c r="H32" s="1" t="s">
        <v>321</v>
      </c>
      <c r="I32" s="1" t="s">
        <v>1027</v>
      </c>
      <c r="J32" s="1" t="s">
        <v>1028</v>
      </c>
      <c r="K32" s="1" t="s">
        <v>4</v>
      </c>
      <c r="L32" s="5">
        <v>38817</v>
      </c>
      <c r="M32" s="11" t="s">
        <v>1127</v>
      </c>
      <c r="N32" s="11" t="str">
        <f t="shared" si="0"/>
        <v>996758</v>
      </c>
      <c r="O32" s="14">
        <v>45658</v>
      </c>
      <c r="P32" s="14"/>
      <c r="Q32" s="14"/>
    </row>
    <row r="33" spans="1:17" ht="10.199999999999999" customHeight="1" x14ac:dyDescent="0.25">
      <c r="A33" s="4" t="s">
        <v>601</v>
      </c>
      <c r="B33" s="4" t="s">
        <v>606</v>
      </c>
      <c r="C33" s="10" t="str">
        <f>MID(Tabela1[[#This Row],[Tributacao]],1,15)</f>
        <v>Lucro Presumido</v>
      </c>
      <c r="D33" s="10" t="s">
        <v>1283</v>
      </c>
      <c r="E33" s="10">
        <v>0</v>
      </c>
      <c r="F33" s="4">
        <v>105642</v>
      </c>
      <c r="G33" s="1" t="s">
        <v>604</v>
      </c>
      <c r="H33" s="1" t="s">
        <v>605</v>
      </c>
      <c r="I33" s="1" t="s">
        <v>602</v>
      </c>
      <c r="J33" s="1" t="s">
        <v>603</v>
      </c>
      <c r="K33" s="1" t="s">
        <v>4</v>
      </c>
      <c r="L33" s="5">
        <v>44796</v>
      </c>
      <c r="M33" s="11" t="s">
        <v>1118</v>
      </c>
      <c r="N33" s="11" t="str">
        <f t="shared" si="0"/>
        <v>951073</v>
      </c>
      <c r="O33" s="14">
        <v>45658</v>
      </c>
      <c r="P33" s="14"/>
      <c r="Q33" s="14"/>
    </row>
    <row r="34" spans="1:17" ht="10.199999999999999" customHeight="1" x14ac:dyDescent="0.25">
      <c r="A34" s="4" t="s">
        <v>673</v>
      </c>
      <c r="B34" s="4" t="s">
        <v>678</v>
      </c>
      <c r="C34" s="10" t="str">
        <f>MID(Tabela1[[#This Row],[Tributacao]],1,15)</f>
        <v>Lucro Presumido</v>
      </c>
      <c r="D34" s="10" t="s">
        <v>1283</v>
      </c>
      <c r="E34" s="10" t="s">
        <v>1372</v>
      </c>
      <c r="F34" s="4">
        <v>474359</v>
      </c>
      <c r="G34" s="1" t="s">
        <v>676</v>
      </c>
      <c r="H34" s="1" t="s">
        <v>605</v>
      </c>
      <c r="I34" s="1" t="s">
        <v>674</v>
      </c>
      <c r="J34" s="1" t="s">
        <v>675</v>
      </c>
      <c r="K34" s="1" t="s">
        <v>677</v>
      </c>
      <c r="L34" s="5">
        <v>44369</v>
      </c>
      <c r="M34" s="11" t="s">
        <v>1232</v>
      </c>
      <c r="N34" s="11" t="str">
        <f t="shared" si="0"/>
        <v>405755</v>
      </c>
      <c r="O34" s="14">
        <v>45658</v>
      </c>
      <c r="P34" s="14"/>
      <c r="Q34" s="14"/>
    </row>
    <row r="35" spans="1:17" ht="10.199999999999999" customHeight="1" x14ac:dyDescent="0.25">
      <c r="A35" s="4" t="s">
        <v>647</v>
      </c>
      <c r="B35" s="4" t="s">
        <v>651</v>
      </c>
      <c r="C35" s="10" t="str">
        <f>MID(Tabela1[[#This Row],[Tributacao]],1,15)</f>
        <v>Lucro Presumido</v>
      </c>
      <c r="D35" s="10" t="s">
        <v>1283</v>
      </c>
      <c r="E35" s="10">
        <v>0</v>
      </c>
      <c r="F35" s="4">
        <v>56068</v>
      </c>
      <c r="G35" s="1" t="s">
        <v>649</v>
      </c>
      <c r="H35" s="1" t="s">
        <v>650</v>
      </c>
      <c r="I35" s="1" t="s">
        <v>635</v>
      </c>
      <c r="J35" s="1" t="s">
        <v>648</v>
      </c>
      <c r="K35" s="1" t="s">
        <v>4</v>
      </c>
      <c r="L35" s="5">
        <v>39336</v>
      </c>
      <c r="M35" s="11" t="s">
        <v>642</v>
      </c>
      <c r="N35" s="11" t="str">
        <f t="shared" si="0"/>
        <v>778983</v>
      </c>
      <c r="O35" s="14">
        <v>45658</v>
      </c>
      <c r="P35" s="14"/>
      <c r="Q35" s="14"/>
    </row>
    <row r="36" spans="1:17" ht="10.199999999999999" customHeight="1" x14ac:dyDescent="0.25">
      <c r="A36" s="4" t="s">
        <v>377</v>
      </c>
      <c r="B36" s="4" t="s">
        <v>379</v>
      </c>
      <c r="C36" s="10" t="str">
        <f>MID(Tabela1[[#This Row],[Tributacao]],1,15)</f>
        <v>Lucro Presumido</v>
      </c>
      <c r="D36" s="10" t="s">
        <v>1283</v>
      </c>
      <c r="E36" s="10" t="s">
        <v>1375</v>
      </c>
      <c r="F36" s="4">
        <v>89419</v>
      </c>
      <c r="G36" s="1" t="s">
        <v>3</v>
      </c>
      <c r="H36" s="1" t="s">
        <v>116</v>
      </c>
      <c r="I36" s="1" t="s">
        <v>157</v>
      </c>
      <c r="J36" s="1" t="s">
        <v>378</v>
      </c>
      <c r="K36" s="1" t="s">
        <v>4</v>
      </c>
      <c r="L36" s="5">
        <v>43524</v>
      </c>
      <c r="M36" s="11" t="s">
        <v>1165</v>
      </c>
      <c r="N36" s="11" t="str">
        <f t="shared" si="0"/>
        <v>277739</v>
      </c>
      <c r="O36" s="14">
        <v>45658</v>
      </c>
      <c r="P36" s="14"/>
      <c r="Q36" s="14"/>
    </row>
    <row r="37" spans="1:17" ht="10.199999999999999" customHeight="1" x14ac:dyDescent="0.25">
      <c r="A37" s="4" t="s">
        <v>37</v>
      </c>
      <c r="B37" s="4" t="s">
        <v>40</v>
      </c>
      <c r="C37" s="10" t="str">
        <f>MID(Tabela1[[#This Row],[Tributacao]],1,15)</f>
        <v>Lucro Presumido</v>
      </c>
      <c r="D37" s="10" t="s">
        <v>1283</v>
      </c>
      <c r="E37" s="10">
        <v>0</v>
      </c>
      <c r="F37" s="4">
        <v>42801</v>
      </c>
      <c r="G37" s="1" t="s">
        <v>3</v>
      </c>
      <c r="H37" s="1" t="s">
        <v>28</v>
      </c>
      <c r="I37" s="1" t="s">
        <v>38</v>
      </c>
      <c r="J37" s="1" t="s">
        <v>39</v>
      </c>
      <c r="K37" s="1" t="s">
        <v>4</v>
      </c>
      <c r="L37" s="5" t="s">
        <v>3</v>
      </c>
      <c r="M37" s="11" t="s">
        <v>1173</v>
      </c>
      <c r="N37" s="11" t="str">
        <f t="shared" si="0"/>
        <v>331207</v>
      </c>
      <c r="O37" s="14">
        <v>45658</v>
      </c>
      <c r="P37" s="14"/>
      <c r="Q37" s="14"/>
    </row>
    <row r="38" spans="1:17" ht="10.199999999999999" customHeight="1" x14ac:dyDescent="0.25">
      <c r="A38" s="4" t="s">
        <v>318</v>
      </c>
      <c r="B38" s="4" t="s">
        <v>322</v>
      </c>
      <c r="C38" s="10" t="str">
        <f>MID(Tabela1[[#This Row],[Tributacao]],1,15)</f>
        <v>Lucro Presumido</v>
      </c>
      <c r="D38" s="10" t="s">
        <v>1283</v>
      </c>
      <c r="E38" s="10">
        <v>0</v>
      </c>
      <c r="F38" s="4">
        <v>106172</v>
      </c>
      <c r="G38" s="1" t="s">
        <v>320</v>
      </c>
      <c r="H38" s="1" t="s">
        <v>321</v>
      </c>
      <c r="I38" s="1" t="s">
        <v>60</v>
      </c>
      <c r="J38" s="1" t="s">
        <v>319</v>
      </c>
      <c r="K38" s="1" t="s">
        <v>4</v>
      </c>
      <c r="L38" s="5">
        <v>43049</v>
      </c>
      <c r="M38" s="11" t="s">
        <v>1137</v>
      </c>
      <c r="N38" s="11" t="str">
        <f t="shared" si="0"/>
        <v>279195</v>
      </c>
      <c r="O38" s="14">
        <v>45658</v>
      </c>
      <c r="P38" s="14"/>
      <c r="Q38" s="14"/>
    </row>
    <row r="39" spans="1:17" ht="10.199999999999999" customHeight="1" x14ac:dyDescent="0.25">
      <c r="A39" s="4" t="s">
        <v>156</v>
      </c>
      <c r="B39" s="4" t="s">
        <v>161</v>
      </c>
      <c r="C39" s="10" t="str">
        <f>MID(Tabela1[[#This Row],[Tributacao]],1,15)</f>
        <v>Lucro Presumido</v>
      </c>
      <c r="D39" s="10" t="s">
        <v>1283</v>
      </c>
      <c r="E39" s="10" t="s">
        <v>1402</v>
      </c>
      <c r="F39" s="4">
        <v>69601</v>
      </c>
      <c r="G39" s="1" t="s">
        <v>159</v>
      </c>
      <c r="H39" s="1" t="s">
        <v>160</v>
      </c>
      <c r="I39" s="1" t="s">
        <v>157</v>
      </c>
      <c r="J39" s="1" t="s">
        <v>158</v>
      </c>
      <c r="K39" s="1" t="s">
        <v>4</v>
      </c>
      <c r="L39" s="5">
        <v>41372</v>
      </c>
      <c r="M39" s="11" t="s">
        <v>1165</v>
      </c>
      <c r="N39" s="11" t="str">
        <f t="shared" si="0"/>
        <v>277739</v>
      </c>
      <c r="O39" s="14">
        <v>45658</v>
      </c>
      <c r="P39" s="14"/>
      <c r="Q39" s="14"/>
    </row>
    <row r="40" spans="1:17" ht="10.199999999999999" customHeight="1" x14ac:dyDescent="0.25">
      <c r="A40" s="4" t="s">
        <v>292</v>
      </c>
      <c r="B40" s="4" t="s">
        <v>296</v>
      </c>
      <c r="C40" s="10" t="str">
        <f>MID(Tabela1[[#This Row],[Tributacao]],1,15)</f>
        <v>Lucro Presumido</v>
      </c>
      <c r="D40" s="10" t="s">
        <v>1283</v>
      </c>
      <c r="E40" s="10">
        <v>0</v>
      </c>
      <c r="F40" s="4">
        <v>80582</v>
      </c>
      <c r="G40" s="1" t="s">
        <v>295</v>
      </c>
      <c r="H40" s="1" t="s">
        <v>245</v>
      </c>
      <c r="I40" s="1" t="s">
        <v>293</v>
      </c>
      <c r="J40" s="1" t="s">
        <v>294</v>
      </c>
      <c r="K40" s="1" t="s">
        <v>4</v>
      </c>
      <c r="L40" s="5">
        <v>42572</v>
      </c>
      <c r="M40" s="11" t="s">
        <v>1182</v>
      </c>
      <c r="N40" s="11" t="str">
        <f t="shared" si="0"/>
        <v>020738</v>
      </c>
      <c r="O40" s="14">
        <v>45658</v>
      </c>
      <c r="P40" s="14"/>
      <c r="Q40" s="14"/>
    </row>
    <row r="41" spans="1:17" ht="10.199999999999999" customHeight="1" x14ac:dyDescent="0.25">
      <c r="A41" s="4" t="s">
        <v>906</v>
      </c>
      <c r="B41" s="4" t="s">
        <v>909</v>
      </c>
      <c r="C41" s="10" t="str">
        <f>MID(Tabela1[[#This Row],[Tributacao]],1,15)</f>
        <v>Lucro Presumido</v>
      </c>
      <c r="D41" s="10" t="s">
        <v>1283</v>
      </c>
      <c r="E41" s="10">
        <v>0</v>
      </c>
      <c r="F41" s="4">
        <v>125731</v>
      </c>
      <c r="G41" s="1" t="s">
        <v>3</v>
      </c>
      <c r="H41" s="1" t="s">
        <v>516</v>
      </c>
      <c r="I41" s="1" t="s">
        <v>907</v>
      </c>
      <c r="J41" s="1" t="s">
        <v>908</v>
      </c>
      <c r="K41" s="1" t="s">
        <v>4</v>
      </c>
      <c r="L41" s="5">
        <v>45785</v>
      </c>
      <c r="M41" s="11" t="s">
        <v>1269</v>
      </c>
      <c r="N41" s="11" t="str">
        <f t="shared" si="0"/>
        <v>055272</v>
      </c>
      <c r="O41" s="14">
        <f>L41</f>
        <v>45785</v>
      </c>
      <c r="P41" s="14"/>
      <c r="Q41" s="14"/>
    </row>
    <row r="42" spans="1:17" ht="10.199999999999999" customHeight="1" x14ac:dyDescent="0.25">
      <c r="A42" s="4" t="s">
        <v>112</v>
      </c>
      <c r="B42" s="4" t="s">
        <v>117</v>
      </c>
      <c r="C42" s="10" t="str">
        <f>MID(Tabela1[[#This Row],[Tributacao]],1,15)</f>
        <v>Lucro Presumido</v>
      </c>
      <c r="D42" s="10" t="s">
        <v>1283</v>
      </c>
      <c r="E42" s="10" t="s">
        <v>1409</v>
      </c>
      <c r="F42" s="4">
        <v>72342</v>
      </c>
      <c r="G42" s="1" t="s">
        <v>115</v>
      </c>
      <c r="H42" s="1" t="s">
        <v>116</v>
      </c>
      <c r="I42" s="1" t="s">
        <v>113</v>
      </c>
      <c r="J42" s="1" t="s">
        <v>114</v>
      </c>
      <c r="K42" s="1" t="s">
        <v>4</v>
      </c>
      <c r="L42" s="5">
        <v>41047</v>
      </c>
      <c r="M42" s="11" t="s">
        <v>128</v>
      </c>
      <c r="N42" s="11" t="str">
        <f t="shared" si="0"/>
        <v>245281</v>
      </c>
      <c r="O42" s="14">
        <v>45658</v>
      </c>
      <c r="P42" s="14"/>
      <c r="Q42" s="14"/>
    </row>
    <row r="43" spans="1:17" ht="10.199999999999999" customHeight="1" x14ac:dyDescent="0.25">
      <c r="A43" s="4" t="s">
        <v>458</v>
      </c>
      <c r="B43" s="4" t="s">
        <v>461</v>
      </c>
      <c r="C43" s="10" t="str">
        <f>MID(Tabela1[[#This Row],[Tributacao]],1,15)</f>
        <v>Lucro Presumido</v>
      </c>
      <c r="D43" s="10" t="s">
        <v>1283</v>
      </c>
      <c r="E43" s="10" t="s">
        <v>459</v>
      </c>
      <c r="F43" s="4">
        <v>57803</v>
      </c>
      <c r="G43" s="1" t="s">
        <v>3</v>
      </c>
      <c r="H43" s="1" t="s">
        <v>444</v>
      </c>
      <c r="I43" s="1" t="s">
        <v>442</v>
      </c>
      <c r="J43" s="1" t="s">
        <v>460</v>
      </c>
      <c r="K43" s="1" t="s">
        <v>4</v>
      </c>
      <c r="L43" s="5">
        <v>44067</v>
      </c>
      <c r="M43" s="11" t="s">
        <v>1205</v>
      </c>
      <c r="N43" s="11" t="str">
        <f t="shared" si="0"/>
        <v>648809</v>
      </c>
      <c r="O43" s="14">
        <v>45658</v>
      </c>
      <c r="P43" s="14"/>
      <c r="Q43" s="14"/>
    </row>
    <row r="44" spans="1:17" ht="10.199999999999999" customHeight="1" x14ac:dyDescent="0.25">
      <c r="A44" s="4" t="s">
        <v>1045</v>
      </c>
      <c r="B44" s="4" t="s">
        <v>1047</v>
      </c>
      <c r="C44" s="10" t="str">
        <f>MID(Tabela1[[#This Row],[Tributacao]],1,15)</f>
        <v>Lucro Presumido</v>
      </c>
      <c r="D44" s="10" t="s">
        <v>1283</v>
      </c>
      <c r="E44" s="10">
        <v>0</v>
      </c>
      <c r="F44" s="4">
        <v>53272</v>
      </c>
      <c r="G44" s="1" t="s">
        <v>1046</v>
      </c>
      <c r="H44" s="1" t="s">
        <v>28</v>
      </c>
      <c r="I44" s="1" t="s">
        <v>38</v>
      </c>
      <c r="J44" s="1" t="s">
        <v>39</v>
      </c>
      <c r="K44" s="1" t="s">
        <v>4</v>
      </c>
      <c r="L44" s="5">
        <v>38443</v>
      </c>
      <c r="M44" s="11" t="s">
        <v>1173</v>
      </c>
      <c r="N44" s="11" t="str">
        <f t="shared" si="0"/>
        <v>331207</v>
      </c>
      <c r="O44" s="14">
        <v>45658</v>
      </c>
      <c r="P44" s="14"/>
      <c r="Q44" s="14"/>
    </row>
    <row r="45" spans="1:17" ht="10.199999999999999" customHeight="1" x14ac:dyDescent="0.25">
      <c r="A45" s="4" t="s">
        <v>382</v>
      </c>
      <c r="B45" s="4" t="s">
        <v>387</v>
      </c>
      <c r="C45" s="10" t="str">
        <f>MID(Tabela1[[#This Row],[Tributacao]],1,15)</f>
        <v>Lucro Presumido</v>
      </c>
      <c r="D45" s="10" t="s">
        <v>1283</v>
      </c>
      <c r="E45" s="10" t="s">
        <v>1426</v>
      </c>
      <c r="F45" s="4">
        <v>70596</v>
      </c>
      <c r="G45" s="1" t="s">
        <v>385</v>
      </c>
      <c r="H45" s="1" t="s">
        <v>386</v>
      </c>
      <c r="I45" s="1" t="s">
        <v>383</v>
      </c>
      <c r="J45" s="1" t="s">
        <v>384</v>
      </c>
      <c r="K45" s="1" t="s">
        <v>4</v>
      </c>
      <c r="L45" s="5">
        <v>41488</v>
      </c>
      <c r="M45" s="11" t="s">
        <v>1195</v>
      </c>
      <c r="N45" s="11" t="str">
        <f t="shared" si="0"/>
        <v>425451</v>
      </c>
      <c r="O45" s="14">
        <v>45658</v>
      </c>
      <c r="P45" s="14"/>
      <c r="Q45" s="14"/>
    </row>
    <row r="46" spans="1:17" ht="10.199999999999999" customHeight="1" x14ac:dyDescent="0.25">
      <c r="A46" s="4" t="s">
        <v>920</v>
      </c>
      <c r="B46" s="4" t="s">
        <v>387</v>
      </c>
      <c r="C46" s="10" t="str">
        <f>MID(Tabela1[[#This Row],[Tributacao]],1,15)</f>
        <v>Lucro Presumido</v>
      </c>
      <c r="D46" s="10" t="s">
        <v>1283</v>
      </c>
      <c r="E46" s="10">
        <v>0</v>
      </c>
      <c r="F46" s="4">
        <v>100441</v>
      </c>
      <c r="G46" s="1" t="s">
        <v>921</v>
      </c>
      <c r="H46" s="1" t="s">
        <v>457</v>
      </c>
      <c r="I46" s="1" t="s">
        <v>383</v>
      </c>
      <c r="J46" s="1" t="s">
        <v>3</v>
      </c>
      <c r="K46" s="1" t="s">
        <v>4</v>
      </c>
      <c r="L46" s="5">
        <v>44473</v>
      </c>
      <c r="M46" s="11" t="s">
        <v>1195</v>
      </c>
      <c r="N46" s="11" t="str">
        <f t="shared" si="0"/>
        <v>425451</v>
      </c>
      <c r="O46" s="14">
        <v>45658</v>
      </c>
      <c r="P46" s="14"/>
      <c r="Q46" s="14"/>
    </row>
    <row r="47" spans="1:17" ht="10.199999999999999" customHeight="1" x14ac:dyDescent="0.25">
      <c r="A47" s="4" t="s">
        <v>734</v>
      </c>
      <c r="B47" s="4" t="s">
        <v>736</v>
      </c>
      <c r="C47" s="10" t="str">
        <f>MID(Tabela1[[#This Row],[Tributacao]],1,15)</f>
        <v>Lucro Presumido</v>
      </c>
      <c r="D47" s="10" t="s">
        <v>1279</v>
      </c>
      <c r="E47" s="10">
        <v>0</v>
      </c>
      <c r="F47" s="4">
        <v>112106</v>
      </c>
      <c r="G47" s="1" t="s">
        <v>735</v>
      </c>
      <c r="H47" s="1" t="s">
        <v>259</v>
      </c>
      <c r="I47" s="1" t="s">
        <v>230</v>
      </c>
      <c r="J47" s="1" t="s">
        <v>164</v>
      </c>
      <c r="K47" s="1" t="s">
        <v>4</v>
      </c>
      <c r="L47" s="5">
        <v>45217</v>
      </c>
      <c r="M47" s="11" t="s">
        <v>229</v>
      </c>
      <c r="N47" s="11" t="str">
        <f t="shared" si="0"/>
        <v>426602</v>
      </c>
      <c r="O47" s="14">
        <v>45658</v>
      </c>
      <c r="P47" s="14"/>
      <c r="Q47" s="14"/>
    </row>
    <row r="48" spans="1:17" ht="10.199999999999999" customHeight="1" x14ac:dyDescent="0.25">
      <c r="A48" s="4" t="s">
        <v>936</v>
      </c>
      <c r="B48" s="4" t="s">
        <v>939</v>
      </c>
      <c r="C48" s="10" t="str">
        <f>MID(Tabela1[[#This Row],[Tributacao]],1,15)</f>
        <v>Lucro Presumido</v>
      </c>
      <c r="D48" s="10" t="s">
        <v>1279</v>
      </c>
      <c r="E48" s="10">
        <v>0</v>
      </c>
      <c r="F48" s="4">
        <v>128166</v>
      </c>
      <c r="G48" s="1" t="s">
        <v>3</v>
      </c>
      <c r="H48" s="1" t="s">
        <v>259</v>
      </c>
      <c r="I48" s="1" t="s">
        <v>937</v>
      </c>
      <c r="J48" s="1" t="s">
        <v>938</v>
      </c>
      <c r="K48" s="1" t="s">
        <v>4</v>
      </c>
      <c r="L48" s="5">
        <v>45953</v>
      </c>
      <c r="M48" s="11" t="s">
        <v>1274</v>
      </c>
      <c r="N48" s="11" t="str">
        <f t="shared" si="0"/>
        <v>036619</v>
      </c>
      <c r="O48" s="14">
        <f>L48</f>
        <v>45953</v>
      </c>
      <c r="P48" s="14"/>
      <c r="Q48" s="14"/>
    </row>
    <row r="49" spans="1:17" ht="10.199999999999999" customHeight="1" x14ac:dyDescent="0.25">
      <c r="A49" s="4" t="s">
        <v>922</v>
      </c>
      <c r="B49" s="4" t="s">
        <v>926</v>
      </c>
      <c r="C49" s="10" t="str">
        <f>MID(Tabela1[[#This Row],[Tributacao]],1,15)</f>
        <v>Lucro Presumido</v>
      </c>
      <c r="D49" s="10" t="s">
        <v>1279</v>
      </c>
      <c r="E49" s="10">
        <v>0</v>
      </c>
      <c r="F49" s="4">
        <v>127470</v>
      </c>
      <c r="G49" s="1" t="s">
        <v>3</v>
      </c>
      <c r="H49" s="1" t="s">
        <v>925</v>
      </c>
      <c r="I49" s="1" t="s">
        <v>923</v>
      </c>
      <c r="J49" s="1" t="s">
        <v>924</v>
      </c>
      <c r="K49" s="1" t="s">
        <v>4</v>
      </c>
      <c r="L49" s="5">
        <v>45923</v>
      </c>
      <c r="M49" s="11" t="s">
        <v>1272</v>
      </c>
      <c r="N49" s="11" t="str">
        <f t="shared" si="0"/>
        <v>895659</v>
      </c>
      <c r="O49" s="14">
        <f>L49</f>
        <v>45923</v>
      </c>
      <c r="P49" s="14"/>
      <c r="Q49" s="14"/>
    </row>
    <row r="50" spans="1:17" ht="10.199999999999999" customHeight="1" x14ac:dyDescent="0.25">
      <c r="A50" s="4" t="s">
        <v>979</v>
      </c>
      <c r="B50" s="4" t="s">
        <v>982</v>
      </c>
      <c r="C50" s="10" t="str">
        <f>MID(Tabela1[[#This Row],[Tributacao]],1,15)</f>
        <v>Lucro Presumido</v>
      </c>
      <c r="D50" s="10" t="s">
        <v>1279</v>
      </c>
      <c r="E50" s="10" t="s">
        <v>1381</v>
      </c>
      <c r="F50" s="4">
        <v>34029</v>
      </c>
      <c r="G50" s="1" t="s">
        <v>981</v>
      </c>
      <c r="H50" s="1" t="s">
        <v>129</v>
      </c>
      <c r="I50" s="1" t="s">
        <v>170</v>
      </c>
      <c r="J50" s="1" t="s">
        <v>980</v>
      </c>
      <c r="K50" s="1" t="s">
        <v>4</v>
      </c>
      <c r="L50" s="5">
        <v>37999</v>
      </c>
      <c r="M50" s="11" t="s">
        <v>299</v>
      </c>
      <c r="N50" s="11" t="str">
        <f t="shared" si="0"/>
        <v>699011</v>
      </c>
      <c r="O50" s="14">
        <v>45658</v>
      </c>
      <c r="P50" s="14"/>
      <c r="Q50" s="14"/>
    </row>
    <row r="51" spans="1:17" ht="10.199999999999999" customHeight="1" x14ac:dyDescent="0.25">
      <c r="A51" s="4" t="s">
        <v>86</v>
      </c>
      <c r="B51" s="4" t="s">
        <v>90</v>
      </c>
      <c r="C51" s="10" t="str">
        <f>MID(Tabela1[[#This Row],[Tributacao]],1,15)</f>
        <v>Lucro Presumido</v>
      </c>
      <c r="D51" s="10" t="s">
        <v>1279</v>
      </c>
      <c r="E51" s="10" t="s">
        <v>1392</v>
      </c>
      <c r="F51" s="4">
        <v>67148</v>
      </c>
      <c r="G51" s="1" t="s">
        <v>89</v>
      </c>
      <c r="H51" s="1" t="s">
        <v>7</v>
      </c>
      <c r="I51" s="1" t="s">
        <v>87</v>
      </c>
      <c r="J51" s="1" t="s">
        <v>88</v>
      </c>
      <c r="K51" s="1" t="s">
        <v>4</v>
      </c>
      <c r="L51" s="5">
        <v>40962</v>
      </c>
      <c r="M51" s="11" t="s">
        <v>1159</v>
      </c>
      <c r="N51" s="11" t="str">
        <f t="shared" si="0"/>
        <v>702088</v>
      </c>
      <c r="O51" s="14">
        <v>45658</v>
      </c>
      <c r="P51" s="14"/>
      <c r="Q51" s="14"/>
    </row>
    <row r="52" spans="1:17" ht="10.199999999999999" customHeight="1" x14ac:dyDescent="0.25">
      <c r="A52" s="4" t="s">
        <v>416</v>
      </c>
      <c r="B52" s="4" t="s">
        <v>418</v>
      </c>
      <c r="C52" s="10" t="str">
        <f>MID(Tabela1[[#This Row],[Tributacao]],1,15)</f>
        <v>Lucro Presumido</v>
      </c>
      <c r="D52" s="10" t="s">
        <v>1279</v>
      </c>
      <c r="E52" s="10">
        <v>0</v>
      </c>
      <c r="F52" s="4">
        <v>92087</v>
      </c>
      <c r="G52" s="1" t="s">
        <v>417</v>
      </c>
      <c r="H52" s="1" t="s">
        <v>259</v>
      </c>
      <c r="I52" s="1" t="s">
        <v>412</v>
      </c>
      <c r="J52" s="1" t="s">
        <v>413</v>
      </c>
      <c r="K52" s="1" t="s">
        <v>4</v>
      </c>
      <c r="L52" s="5">
        <v>43746</v>
      </c>
      <c r="M52" s="11" t="s">
        <v>1166</v>
      </c>
      <c r="N52" s="11" t="str">
        <f t="shared" si="0"/>
        <v>793155</v>
      </c>
      <c r="O52" s="14">
        <v>45658</v>
      </c>
      <c r="P52" s="14"/>
      <c r="Q52" s="14"/>
    </row>
    <row r="53" spans="1:17" ht="10.199999999999999" customHeight="1" x14ac:dyDescent="0.25">
      <c r="A53" s="4" t="s">
        <v>731</v>
      </c>
      <c r="B53" s="4" t="s">
        <v>733</v>
      </c>
      <c r="C53" s="10" t="str">
        <f>MID(Tabela1[[#This Row],[Tributacao]],1,15)</f>
        <v>Lucro Presumido</v>
      </c>
      <c r="D53" s="10" t="s">
        <v>1279</v>
      </c>
      <c r="E53" s="10">
        <v>0</v>
      </c>
      <c r="F53" s="4">
        <v>112074</v>
      </c>
      <c r="G53" s="1" t="s">
        <v>732</v>
      </c>
      <c r="H53" s="1" t="s">
        <v>259</v>
      </c>
      <c r="I53" s="1" t="s">
        <v>163</v>
      </c>
      <c r="J53" s="1" t="s">
        <v>164</v>
      </c>
      <c r="K53" s="1" t="s">
        <v>4</v>
      </c>
      <c r="L53" s="5">
        <v>45212</v>
      </c>
      <c r="M53" s="11" t="s">
        <v>1210</v>
      </c>
      <c r="N53" s="11" t="str">
        <f t="shared" si="0"/>
        <v>752014</v>
      </c>
      <c r="O53" s="14">
        <v>45658</v>
      </c>
      <c r="P53" s="14"/>
      <c r="Q53" s="14"/>
    </row>
    <row r="54" spans="1:17" ht="10.199999999999999" customHeight="1" x14ac:dyDescent="0.25">
      <c r="A54" s="4" t="s">
        <v>41</v>
      </c>
      <c r="B54" s="4" t="s">
        <v>46</v>
      </c>
      <c r="C54" s="10" t="str">
        <f>MID(Tabela1[[#This Row],[Tributacao]],1,15)</f>
        <v>Lucro Presumido</v>
      </c>
      <c r="D54" s="10" t="s">
        <v>1279</v>
      </c>
      <c r="E54" s="10">
        <v>0</v>
      </c>
      <c r="F54" s="4" t="s">
        <v>1433</v>
      </c>
      <c r="G54" s="1" t="s">
        <v>44</v>
      </c>
      <c r="H54" s="1" t="s">
        <v>7</v>
      </c>
      <c r="I54" s="1" t="s">
        <v>42</v>
      </c>
      <c r="J54" s="1" t="s">
        <v>43</v>
      </c>
      <c r="K54" s="1" t="s">
        <v>45</v>
      </c>
      <c r="L54" s="5">
        <v>39778</v>
      </c>
      <c r="M54" s="11" t="s">
        <v>1154</v>
      </c>
      <c r="N54" s="11" t="str">
        <f t="shared" si="0"/>
        <v>307510</v>
      </c>
      <c r="O54" s="14">
        <v>45658</v>
      </c>
      <c r="P54" s="14"/>
      <c r="Q54" s="14"/>
    </row>
    <row r="55" spans="1:17" ht="10.199999999999999" customHeight="1" x14ac:dyDescent="0.25">
      <c r="A55" s="4" t="s">
        <v>451</v>
      </c>
      <c r="B55" s="4" t="s">
        <v>453</v>
      </c>
      <c r="C55" s="10" t="str">
        <f>MID(Tabela1[[#This Row],[Tributacao]],1,15)</f>
        <v>Lucro Presumido</v>
      </c>
      <c r="D55" s="10" t="s">
        <v>1279</v>
      </c>
      <c r="E55" s="10">
        <v>0</v>
      </c>
      <c r="F55" s="4">
        <v>93011</v>
      </c>
      <c r="G55" s="1" t="s">
        <v>452</v>
      </c>
      <c r="H55" s="1" t="s">
        <v>259</v>
      </c>
      <c r="I55" s="1" t="s">
        <v>440</v>
      </c>
      <c r="J55" s="1" t="s">
        <v>384</v>
      </c>
      <c r="K55" s="1" t="s">
        <v>4</v>
      </c>
      <c r="L55" s="5">
        <v>43776</v>
      </c>
      <c r="M55" s="11" t="s">
        <v>439</v>
      </c>
      <c r="N55" s="11" t="str">
        <f t="shared" si="0"/>
        <v>852127</v>
      </c>
      <c r="O55" s="14">
        <v>45658</v>
      </c>
      <c r="P55" s="14"/>
      <c r="Q55" s="14"/>
    </row>
    <row r="56" spans="1:17" ht="10.199999999999999" customHeight="1" x14ac:dyDescent="0.25">
      <c r="A56" s="4" t="s">
        <v>1006</v>
      </c>
      <c r="B56" s="4" t="s">
        <v>1008</v>
      </c>
      <c r="C56" s="10" t="str">
        <f>MID(Tabela1[[#This Row],[Tributacao]],1,10)</f>
        <v>Lucro Real</v>
      </c>
      <c r="D56" s="10" t="s">
        <v>1284</v>
      </c>
      <c r="E56" s="10" t="s">
        <v>1313</v>
      </c>
      <c r="F56" s="4">
        <v>8546760</v>
      </c>
      <c r="G56" s="1" t="s">
        <v>1007</v>
      </c>
      <c r="H56" s="1" t="s">
        <v>132</v>
      </c>
      <c r="I56" s="1" t="s">
        <v>130</v>
      </c>
      <c r="J56" s="1" t="s">
        <v>131</v>
      </c>
      <c r="K56" s="1" t="s">
        <v>6</v>
      </c>
      <c r="L56" s="5">
        <v>37874</v>
      </c>
      <c r="M56" s="11" t="s">
        <v>1124</v>
      </c>
      <c r="N56" s="11" t="str">
        <f t="shared" si="0"/>
        <v>664164</v>
      </c>
      <c r="O56" s="14">
        <v>45658</v>
      </c>
      <c r="P56" s="14"/>
      <c r="Q56" s="14"/>
    </row>
    <row r="57" spans="1:17" ht="10.199999999999999" customHeight="1" x14ac:dyDescent="0.25">
      <c r="A57" s="4" t="s">
        <v>425</v>
      </c>
      <c r="B57" s="4" t="s">
        <v>427</v>
      </c>
      <c r="C57" s="10" t="str">
        <f>MID(Tabela1[[#This Row],[Tributacao]],1,10)</f>
        <v>Lucro Real</v>
      </c>
      <c r="D57" s="10" t="s">
        <v>1284</v>
      </c>
      <c r="E57" s="10" t="s">
        <v>1314</v>
      </c>
      <c r="F57" s="4">
        <v>8571118</v>
      </c>
      <c r="G57" s="1" t="s">
        <v>426</v>
      </c>
      <c r="H57" s="1" t="s">
        <v>132</v>
      </c>
      <c r="I57" s="1" t="s">
        <v>130</v>
      </c>
      <c r="J57" s="1" t="s">
        <v>131</v>
      </c>
      <c r="K57" s="1" t="s">
        <v>6</v>
      </c>
      <c r="L57" s="5">
        <v>43845</v>
      </c>
      <c r="M57" s="11" t="s">
        <v>1124</v>
      </c>
      <c r="N57" s="11" t="str">
        <f t="shared" si="0"/>
        <v>664164</v>
      </c>
      <c r="O57" s="14">
        <v>45658</v>
      </c>
      <c r="P57" s="14"/>
      <c r="Q57" s="14"/>
    </row>
    <row r="58" spans="1:17" ht="10.199999999999999" customHeight="1" x14ac:dyDescent="0.25">
      <c r="A58" s="4" t="s">
        <v>668</v>
      </c>
      <c r="B58" s="4" t="s">
        <v>672</v>
      </c>
      <c r="C58" s="10" t="str">
        <f>MID(Tabela1[[#This Row],[Tributacao]],1,10)</f>
        <v>Lucro Real</v>
      </c>
      <c r="D58" s="10" t="s">
        <v>1284</v>
      </c>
      <c r="E58" s="10" t="s">
        <v>1318</v>
      </c>
      <c r="F58" s="4" t="s">
        <v>1319</v>
      </c>
      <c r="G58" s="1" t="s">
        <v>671</v>
      </c>
      <c r="H58" s="1" t="s">
        <v>127</v>
      </c>
      <c r="I58" s="1" t="s">
        <v>669</v>
      </c>
      <c r="J58" s="1" t="s">
        <v>670</v>
      </c>
      <c r="K58" s="1" t="s">
        <v>104</v>
      </c>
      <c r="L58" s="5">
        <v>45019</v>
      </c>
      <c r="M58" s="11" t="s">
        <v>1231</v>
      </c>
      <c r="N58" s="11" t="str">
        <f t="shared" si="0"/>
        <v>343071</v>
      </c>
      <c r="O58" s="14">
        <v>45658</v>
      </c>
      <c r="P58" s="14"/>
      <c r="Q58" s="14"/>
    </row>
    <row r="59" spans="1:17" ht="10.199999999999999" customHeight="1" x14ac:dyDescent="0.25">
      <c r="A59" s="4" t="s">
        <v>364</v>
      </c>
      <c r="B59" s="4" t="s">
        <v>368</v>
      </c>
      <c r="C59" s="10" t="str">
        <f>MID(Tabela1[[#This Row],[Tributacao]],1,10)</f>
        <v>Lucro Real</v>
      </c>
      <c r="D59" s="10" t="s">
        <v>1284</v>
      </c>
      <c r="E59" s="10" t="s">
        <v>1330</v>
      </c>
      <c r="F59" s="4">
        <v>86917</v>
      </c>
      <c r="G59" s="1" t="s">
        <v>367</v>
      </c>
      <c r="H59" s="1" t="s">
        <v>193</v>
      </c>
      <c r="I59" s="1" t="s">
        <v>365</v>
      </c>
      <c r="J59" s="1" t="s">
        <v>366</v>
      </c>
      <c r="K59" s="1" t="s">
        <v>4</v>
      </c>
      <c r="L59" s="5">
        <v>43356</v>
      </c>
      <c r="M59" s="11" t="s">
        <v>1200</v>
      </c>
      <c r="N59" s="11" t="str">
        <f t="shared" si="0"/>
        <v>789418</v>
      </c>
      <c r="O59" s="14">
        <v>45658</v>
      </c>
      <c r="P59" s="14"/>
      <c r="Q59" s="14"/>
    </row>
    <row r="60" spans="1:17" ht="10.199999999999999" customHeight="1" x14ac:dyDescent="0.25">
      <c r="A60" s="4" t="s">
        <v>435</v>
      </c>
      <c r="B60" s="4" t="s">
        <v>437</v>
      </c>
      <c r="C60" s="10" t="str">
        <f>MID(Tabela1[[#This Row],[Tributacao]],1,10)</f>
        <v>Lucro Real</v>
      </c>
      <c r="D60" s="10" t="s">
        <v>1284</v>
      </c>
      <c r="E60" s="10" t="s">
        <v>1331</v>
      </c>
      <c r="F60" s="4">
        <v>54653</v>
      </c>
      <c r="G60" s="1" t="s">
        <v>3</v>
      </c>
      <c r="H60" s="1" t="s">
        <v>193</v>
      </c>
      <c r="I60" s="1" t="s">
        <v>436</v>
      </c>
      <c r="J60" s="1" t="s">
        <v>366</v>
      </c>
      <c r="K60" s="1" t="s">
        <v>4</v>
      </c>
      <c r="L60" s="5">
        <v>43854</v>
      </c>
      <c r="M60" s="11" t="s">
        <v>438</v>
      </c>
      <c r="N60" s="11" t="str">
        <f t="shared" si="0"/>
        <v>003505</v>
      </c>
      <c r="O60" s="14">
        <v>45658</v>
      </c>
      <c r="P60" s="14"/>
      <c r="Q60" s="14"/>
    </row>
    <row r="61" spans="1:17" ht="10.199999999999999" customHeight="1" x14ac:dyDescent="0.25">
      <c r="A61" s="4" t="s">
        <v>286</v>
      </c>
      <c r="B61" s="4" t="s">
        <v>291</v>
      </c>
      <c r="C61" s="10" t="str">
        <f>MID(Tabela1[[#This Row],[Tributacao]],1,10)</f>
        <v>Lucro Real</v>
      </c>
      <c r="D61" s="10" t="s">
        <v>1284</v>
      </c>
      <c r="E61" s="10" t="s">
        <v>1342</v>
      </c>
      <c r="F61" s="4">
        <v>74911</v>
      </c>
      <c r="G61" s="1" t="s">
        <v>289</v>
      </c>
      <c r="H61" s="1" t="s">
        <v>290</v>
      </c>
      <c r="I61" s="1" t="s">
        <v>287</v>
      </c>
      <c r="J61" s="1" t="s">
        <v>288</v>
      </c>
      <c r="K61" s="1" t="s">
        <v>4</v>
      </c>
      <c r="L61" s="5">
        <v>42537</v>
      </c>
      <c r="M61" s="11" t="s">
        <v>1206</v>
      </c>
      <c r="N61" s="11" t="str">
        <f t="shared" si="0"/>
        <v>998020</v>
      </c>
      <c r="O61" s="14">
        <v>45658</v>
      </c>
      <c r="P61" s="14"/>
      <c r="Q61" s="14"/>
    </row>
    <row r="62" spans="1:17" ht="10.199999999999999" customHeight="1" x14ac:dyDescent="0.25">
      <c r="A62" s="4" t="s">
        <v>826</v>
      </c>
      <c r="B62" s="4" t="s">
        <v>829</v>
      </c>
      <c r="C62" s="10" t="str">
        <f>MID(Tabela1[[#This Row],[Tributacao]],1,10)</f>
        <v>Lucro Real</v>
      </c>
      <c r="D62" s="10" t="s">
        <v>1284</v>
      </c>
      <c r="E62" s="10" t="s">
        <v>1346</v>
      </c>
      <c r="F62" s="4">
        <v>124111</v>
      </c>
      <c r="G62" s="1" t="s">
        <v>828</v>
      </c>
      <c r="H62" s="1" t="s">
        <v>770</v>
      </c>
      <c r="I62" s="1" t="s">
        <v>767</v>
      </c>
      <c r="J62" s="1" t="s">
        <v>827</v>
      </c>
      <c r="K62" s="1" t="s">
        <v>4</v>
      </c>
      <c r="L62" s="5">
        <v>45474</v>
      </c>
      <c r="M62" s="11" t="s">
        <v>1247</v>
      </c>
      <c r="N62" s="11" t="str">
        <f t="shared" si="0"/>
        <v>702794</v>
      </c>
      <c r="O62" s="14">
        <v>45658</v>
      </c>
      <c r="P62" s="14"/>
      <c r="Q62" s="14"/>
    </row>
    <row r="63" spans="1:17" ht="10.199999999999999" customHeight="1" x14ac:dyDescent="0.25">
      <c r="A63" s="4" t="s">
        <v>899</v>
      </c>
      <c r="B63" s="4" t="s">
        <v>829</v>
      </c>
      <c r="C63" s="10" t="str">
        <f>MID(Tabela1[[#This Row],[Tributacao]],1,10)</f>
        <v>Lucro Real</v>
      </c>
      <c r="D63" s="10" t="s">
        <v>1284</v>
      </c>
      <c r="E63" s="10" t="s">
        <v>1347</v>
      </c>
      <c r="F63" s="4">
        <v>555188</v>
      </c>
      <c r="G63" s="1" t="s">
        <v>900</v>
      </c>
      <c r="H63" s="1" t="s">
        <v>770</v>
      </c>
      <c r="I63" s="1" t="s">
        <v>767</v>
      </c>
      <c r="J63" s="1" t="s">
        <v>3</v>
      </c>
      <c r="K63" s="1" t="s">
        <v>901</v>
      </c>
      <c r="L63" s="5">
        <v>45737</v>
      </c>
      <c r="M63" s="11" t="s">
        <v>1247</v>
      </c>
      <c r="N63" s="11" t="str">
        <f t="shared" si="0"/>
        <v>702794</v>
      </c>
      <c r="O63" s="14">
        <f>L63</f>
        <v>45737</v>
      </c>
      <c r="P63" s="14"/>
      <c r="Q63" s="14"/>
    </row>
    <row r="64" spans="1:17" ht="10.199999999999999" customHeight="1" x14ac:dyDescent="0.25">
      <c r="A64" s="4" t="s">
        <v>652</v>
      </c>
      <c r="B64" s="4" t="s">
        <v>655</v>
      </c>
      <c r="C64" s="10" t="str">
        <f>MID(Tabela1[[#This Row],[Tributacao]],1,10)</f>
        <v>Lucro Real</v>
      </c>
      <c r="D64" s="10" t="s">
        <v>1284</v>
      </c>
      <c r="E64" s="10" t="s">
        <v>1351</v>
      </c>
      <c r="F64" s="4">
        <v>108722</v>
      </c>
      <c r="G64" s="1" t="s">
        <v>653</v>
      </c>
      <c r="H64" s="1" t="s">
        <v>654</v>
      </c>
      <c r="I64" s="1" t="s">
        <v>398</v>
      </c>
      <c r="J64" s="1" t="s">
        <v>3</v>
      </c>
      <c r="K64" s="1" t="s">
        <v>4</v>
      </c>
      <c r="L64" s="5">
        <v>44986</v>
      </c>
      <c r="M64" s="11" t="s">
        <v>1197</v>
      </c>
      <c r="N64" s="11" t="str">
        <f t="shared" si="0"/>
        <v>049084</v>
      </c>
      <c r="O64" s="14">
        <v>45658</v>
      </c>
      <c r="P64" s="14"/>
      <c r="Q64" s="14"/>
    </row>
    <row r="65" spans="1:17" ht="10.199999999999999" customHeight="1" x14ac:dyDescent="0.25">
      <c r="A65" s="4" t="s">
        <v>1015</v>
      </c>
      <c r="B65" s="4" t="s">
        <v>355</v>
      </c>
      <c r="C65" s="10" t="str">
        <f>MID(Tabela1[[#This Row],[Tributacao]],1,10)</f>
        <v>Lucro Real</v>
      </c>
      <c r="D65" s="10" t="s">
        <v>1284</v>
      </c>
      <c r="E65" s="10" t="s">
        <v>1365</v>
      </c>
      <c r="F65" s="4" t="s">
        <v>1433</v>
      </c>
      <c r="G65" s="1" t="s">
        <v>1016</v>
      </c>
      <c r="H65" s="1" t="s">
        <v>132</v>
      </c>
      <c r="I65" s="1" t="s">
        <v>130</v>
      </c>
      <c r="J65" s="1" t="s">
        <v>131</v>
      </c>
      <c r="K65" s="1" t="s">
        <v>4</v>
      </c>
      <c r="L65" s="5">
        <v>36490</v>
      </c>
      <c r="M65" s="11" t="s">
        <v>1124</v>
      </c>
      <c r="N65" s="11" t="str">
        <f t="shared" si="0"/>
        <v>664164</v>
      </c>
      <c r="O65" s="14">
        <v>45658</v>
      </c>
      <c r="P65" s="14"/>
      <c r="Q65" s="14"/>
    </row>
    <row r="66" spans="1:17" ht="10.199999999999999" customHeight="1" x14ac:dyDescent="0.25">
      <c r="A66" s="4" t="s">
        <v>30</v>
      </c>
      <c r="B66" s="4" t="s">
        <v>35</v>
      </c>
      <c r="C66" s="10" t="str">
        <f>MID(Tabela1[[#This Row],[Tributacao]],1,10)</f>
        <v>Lucro Real</v>
      </c>
      <c r="D66" s="10" t="s">
        <v>1284</v>
      </c>
      <c r="E66" s="10" t="s">
        <v>1367</v>
      </c>
      <c r="F66" s="4">
        <v>63906</v>
      </c>
      <c r="G66" s="1" t="s">
        <v>33</v>
      </c>
      <c r="H66" s="1" t="s">
        <v>34</v>
      </c>
      <c r="I66" s="1" t="s">
        <v>31</v>
      </c>
      <c r="J66" s="1" t="s">
        <v>32</v>
      </c>
      <c r="K66" s="1" t="s">
        <v>4</v>
      </c>
      <c r="L66" s="5">
        <v>40701</v>
      </c>
      <c r="M66" s="11" t="s">
        <v>1241</v>
      </c>
      <c r="N66" s="11" t="str">
        <f t="shared" si="0"/>
        <v>979101</v>
      </c>
      <c r="O66" s="14">
        <v>45658</v>
      </c>
      <c r="P66" s="14"/>
      <c r="Q66" s="14"/>
    </row>
    <row r="67" spans="1:17" ht="10.199999999999999" customHeight="1" x14ac:dyDescent="0.25">
      <c r="A67" s="4" t="s">
        <v>1009</v>
      </c>
      <c r="B67" s="4" t="s">
        <v>1011</v>
      </c>
      <c r="C67" s="10" t="str">
        <f>MID(Tabela1[[#This Row],[Tributacao]],1,10)</f>
        <v>Lucro Real</v>
      </c>
      <c r="D67" s="10" t="s">
        <v>1284</v>
      </c>
      <c r="E67" s="10" t="s">
        <v>1369</v>
      </c>
      <c r="F67" s="4">
        <v>2200343</v>
      </c>
      <c r="G67" s="1" t="s">
        <v>1010</v>
      </c>
      <c r="H67" s="1" t="s">
        <v>132</v>
      </c>
      <c r="I67" s="1" t="s">
        <v>130</v>
      </c>
      <c r="J67" s="1" t="s">
        <v>131</v>
      </c>
      <c r="K67" s="1" t="s">
        <v>207</v>
      </c>
      <c r="L67" s="5">
        <v>36301</v>
      </c>
      <c r="M67" s="11" t="s">
        <v>1124</v>
      </c>
      <c r="N67" s="11" t="str">
        <f t="shared" ref="N67:N130" si="1">MID(M67,1,6)</f>
        <v>664164</v>
      </c>
      <c r="O67" s="14">
        <v>45658</v>
      </c>
      <c r="P67" s="14"/>
      <c r="Q67" s="14"/>
    </row>
    <row r="68" spans="1:17" ht="10.199999999999999" customHeight="1" x14ac:dyDescent="0.25">
      <c r="A68" s="4" t="s">
        <v>565</v>
      </c>
      <c r="B68" s="4" t="s">
        <v>569</v>
      </c>
      <c r="C68" s="10" t="str">
        <f>MID(Tabela1[[#This Row],[Tributacao]],1,10)</f>
        <v>Lucro Real</v>
      </c>
      <c r="D68" s="10" t="s">
        <v>1284</v>
      </c>
      <c r="E68" s="10" t="s">
        <v>1373</v>
      </c>
      <c r="F68" s="4">
        <v>103838</v>
      </c>
      <c r="G68" s="1" t="s">
        <v>568</v>
      </c>
      <c r="H68" s="1" t="s">
        <v>169</v>
      </c>
      <c r="I68" s="1" t="s">
        <v>566</v>
      </c>
      <c r="J68" s="1" t="s">
        <v>567</v>
      </c>
      <c r="K68" s="1" t="s">
        <v>4</v>
      </c>
      <c r="L68" s="5">
        <v>44692</v>
      </c>
      <c r="M68" s="11" t="s">
        <v>1219</v>
      </c>
      <c r="N68" s="11" t="str">
        <f t="shared" si="1"/>
        <v>696421</v>
      </c>
      <c r="O68" s="14">
        <v>45658</v>
      </c>
      <c r="P68" s="14"/>
      <c r="Q68" s="14"/>
    </row>
    <row r="69" spans="1:17" ht="10.199999999999999" customHeight="1" x14ac:dyDescent="0.25">
      <c r="A69" s="4" t="s">
        <v>637</v>
      </c>
      <c r="B69" s="4" t="s">
        <v>641</v>
      </c>
      <c r="C69" s="10" t="str">
        <f>MID(Tabela1[[#This Row],[Tributacao]],1,10)</f>
        <v>Lucro Real</v>
      </c>
      <c r="D69" s="10" t="s">
        <v>1284</v>
      </c>
      <c r="E69" s="10" t="s">
        <v>1390</v>
      </c>
      <c r="F69" s="4">
        <v>108634</v>
      </c>
      <c r="G69" s="1" t="s">
        <v>640</v>
      </c>
      <c r="H69" s="1" t="s">
        <v>127</v>
      </c>
      <c r="I69" s="1" t="s">
        <v>638</v>
      </c>
      <c r="J69" s="1" t="s">
        <v>639</v>
      </c>
      <c r="K69" s="1" t="s">
        <v>4</v>
      </c>
      <c r="L69" s="5">
        <v>44974</v>
      </c>
      <c r="M69" s="11" t="s">
        <v>1150</v>
      </c>
      <c r="N69" s="11" t="str">
        <f t="shared" si="1"/>
        <v>034992</v>
      </c>
      <c r="O69" s="14">
        <v>45658</v>
      </c>
      <c r="P69" s="14"/>
      <c r="Q69" s="14"/>
    </row>
    <row r="70" spans="1:17" ht="10.199999999999999" customHeight="1" x14ac:dyDescent="0.25">
      <c r="A70" s="4" t="s">
        <v>1001</v>
      </c>
      <c r="B70" s="4" t="s">
        <v>1005</v>
      </c>
      <c r="C70" s="10" t="str">
        <f>MID(Tabela1[[#This Row],[Tributacao]],1,10)</f>
        <v>Lucro Real</v>
      </c>
      <c r="D70" s="10" t="s">
        <v>1284</v>
      </c>
      <c r="E70" s="10" t="s">
        <v>1416</v>
      </c>
      <c r="F70" s="4">
        <v>54613</v>
      </c>
      <c r="G70" s="1" t="s">
        <v>1003</v>
      </c>
      <c r="H70" s="1" t="s">
        <v>1004</v>
      </c>
      <c r="I70" s="1" t="s">
        <v>911</v>
      </c>
      <c r="J70" s="1" t="s">
        <v>1002</v>
      </c>
      <c r="K70" s="1" t="s">
        <v>4</v>
      </c>
      <c r="L70" s="5">
        <v>38814</v>
      </c>
      <c r="M70" s="11" t="s">
        <v>1126</v>
      </c>
      <c r="N70" s="11" t="str">
        <f t="shared" si="1"/>
        <v>000706</v>
      </c>
      <c r="O70" s="14">
        <v>45658</v>
      </c>
      <c r="P70" s="14"/>
      <c r="Q70" s="14"/>
    </row>
    <row r="71" spans="1:17" ht="10.199999999999999" customHeight="1" x14ac:dyDescent="0.25">
      <c r="A71" s="4" t="s">
        <v>523</v>
      </c>
      <c r="B71" s="4" t="s">
        <v>522</v>
      </c>
      <c r="C71" s="10" t="str">
        <f>MID(Tabela1[[#This Row],[Tributacao]],1,10)</f>
        <v>Lucro Real</v>
      </c>
      <c r="D71" s="10" t="s">
        <v>1286</v>
      </c>
      <c r="E71" s="10">
        <v>0</v>
      </c>
      <c r="F71" s="4">
        <v>95181</v>
      </c>
      <c r="G71" s="1" t="s">
        <v>525</v>
      </c>
      <c r="H71" s="1" t="s">
        <v>160</v>
      </c>
      <c r="I71" s="1" t="s">
        <v>519</v>
      </c>
      <c r="J71" s="1" t="s">
        <v>524</v>
      </c>
      <c r="K71" s="1" t="s">
        <v>526</v>
      </c>
      <c r="L71" s="5">
        <v>39821</v>
      </c>
      <c r="M71" s="11" t="s">
        <v>1213</v>
      </c>
      <c r="N71" s="11" t="str">
        <f t="shared" si="1"/>
        <v>818189</v>
      </c>
      <c r="O71" s="14">
        <v>45658</v>
      </c>
      <c r="P71" s="14"/>
      <c r="Q71" s="14"/>
    </row>
    <row r="72" spans="1:17" ht="10.199999999999999" customHeight="1" x14ac:dyDescent="0.25">
      <c r="A72" s="4" t="s">
        <v>993</v>
      </c>
      <c r="B72" s="4" t="s">
        <v>998</v>
      </c>
      <c r="C72" s="10" t="str">
        <f>MID(Tabela1[[#This Row],[Tributacao]],1,10)</f>
        <v>Lucro Real</v>
      </c>
      <c r="D72" s="10" t="s">
        <v>1286</v>
      </c>
      <c r="E72" s="10" t="s">
        <v>1400</v>
      </c>
      <c r="F72" s="4">
        <v>29634</v>
      </c>
      <c r="G72" s="1" t="s">
        <v>996</v>
      </c>
      <c r="H72" s="1" t="s">
        <v>997</v>
      </c>
      <c r="I72" s="1" t="s">
        <v>994</v>
      </c>
      <c r="J72" s="1" t="s">
        <v>995</v>
      </c>
      <c r="K72" s="1" t="s">
        <v>4</v>
      </c>
      <c r="L72" s="5">
        <v>27147</v>
      </c>
      <c r="M72" s="11" t="s">
        <v>1130</v>
      </c>
      <c r="N72" s="11" t="str">
        <f t="shared" si="1"/>
        <v>020240</v>
      </c>
      <c r="O72" s="14">
        <v>45658</v>
      </c>
      <c r="P72" s="14"/>
      <c r="Q72" s="14"/>
    </row>
    <row r="73" spans="1:17" ht="10.199999999999999" customHeight="1" x14ac:dyDescent="0.25">
      <c r="A73" s="4" t="s">
        <v>323</v>
      </c>
      <c r="B73" s="4" t="s">
        <v>327</v>
      </c>
      <c r="C73" s="10" t="str">
        <f>MID(Tabela1[[#This Row],[Tributacao]],1,16)</f>
        <v>Simples Nacional</v>
      </c>
      <c r="D73" s="10" t="s">
        <v>1278</v>
      </c>
      <c r="E73" s="10" t="s">
        <v>1297</v>
      </c>
      <c r="F73" s="4">
        <v>85025</v>
      </c>
      <c r="G73" s="1" t="s">
        <v>326</v>
      </c>
      <c r="H73" s="1" t="s">
        <v>80</v>
      </c>
      <c r="I73" s="1" t="s">
        <v>324</v>
      </c>
      <c r="J73" s="1" t="s">
        <v>325</v>
      </c>
      <c r="K73" s="1" t="s">
        <v>4</v>
      </c>
      <c r="L73" s="5">
        <v>43111</v>
      </c>
      <c r="M73" s="11" t="s">
        <v>1186</v>
      </c>
      <c r="N73" s="11" t="str">
        <f t="shared" si="1"/>
        <v>003074</v>
      </c>
      <c r="O73" s="14">
        <v>45658</v>
      </c>
      <c r="P73" s="14"/>
      <c r="Q73" s="14"/>
    </row>
    <row r="74" spans="1:17" ht="10.199999999999999" customHeight="1" x14ac:dyDescent="0.25">
      <c r="A74" s="4" t="s">
        <v>777</v>
      </c>
      <c r="B74" s="4" t="s">
        <v>782</v>
      </c>
      <c r="C74" s="10" t="str">
        <f>MID(Tabela1[[#This Row],[Tributacao]],1,16)</f>
        <v>Simples Nacional</v>
      </c>
      <c r="D74" s="10" t="s">
        <v>1278</v>
      </c>
      <c r="E74" s="10" t="s">
        <v>1298</v>
      </c>
      <c r="F74" s="4">
        <v>1496</v>
      </c>
      <c r="G74" s="1" t="s">
        <v>780</v>
      </c>
      <c r="H74" s="1" t="s">
        <v>781</v>
      </c>
      <c r="I74" s="1" t="s">
        <v>778</v>
      </c>
      <c r="J74" s="1" t="s">
        <v>779</v>
      </c>
      <c r="K74" s="1" t="s">
        <v>208</v>
      </c>
      <c r="L74" s="5">
        <v>38191</v>
      </c>
      <c r="M74" s="11" t="s">
        <v>1250</v>
      </c>
      <c r="N74" s="11" t="str">
        <f t="shared" si="1"/>
        <v>102195</v>
      </c>
      <c r="O74" s="14">
        <v>45658</v>
      </c>
      <c r="P74" s="14"/>
      <c r="Q74" s="14"/>
    </row>
    <row r="75" spans="1:17" ht="10.199999999999999" customHeight="1" x14ac:dyDescent="0.25">
      <c r="A75" s="4" t="s">
        <v>772</v>
      </c>
      <c r="B75" s="4" t="s">
        <v>776</v>
      </c>
      <c r="C75" s="10" t="str">
        <f>MID(Tabela1[[#This Row],[Tributacao]],1,16)</f>
        <v>Simples Nacional</v>
      </c>
      <c r="D75" s="10" t="s">
        <v>1278</v>
      </c>
      <c r="E75" s="10" t="s">
        <v>1299</v>
      </c>
      <c r="F75" s="4">
        <v>91861396</v>
      </c>
      <c r="G75" s="1" t="s">
        <v>775</v>
      </c>
      <c r="H75" s="1" t="s">
        <v>65</v>
      </c>
      <c r="I75" s="1" t="s">
        <v>773</v>
      </c>
      <c r="J75" s="1" t="s">
        <v>774</v>
      </c>
      <c r="K75" s="1" t="s">
        <v>81</v>
      </c>
      <c r="L75" s="5">
        <v>43959</v>
      </c>
      <c r="M75" s="11" t="s">
        <v>1248</v>
      </c>
      <c r="N75" s="11" t="str">
        <f t="shared" si="1"/>
        <v>756825</v>
      </c>
      <c r="O75" s="14">
        <v>45658</v>
      </c>
      <c r="P75" s="14"/>
      <c r="Q75" s="14"/>
    </row>
    <row r="76" spans="1:17" ht="10.199999999999999" customHeight="1" x14ac:dyDescent="0.25">
      <c r="A76" s="4" t="s">
        <v>215</v>
      </c>
      <c r="B76" s="4" t="s">
        <v>220</v>
      </c>
      <c r="C76" s="10" t="str">
        <f>MID(Tabela1[[#This Row],[Tributacao]],1,16)</f>
        <v>Simples Nacional</v>
      </c>
      <c r="D76" s="10" t="s">
        <v>1278</v>
      </c>
      <c r="E76" s="10" t="s">
        <v>1304</v>
      </c>
      <c r="F76" s="4">
        <v>77493</v>
      </c>
      <c r="G76" s="1" t="s">
        <v>218</v>
      </c>
      <c r="H76" s="1" t="s">
        <v>219</v>
      </c>
      <c r="I76" s="1" t="s">
        <v>216</v>
      </c>
      <c r="J76" s="1" t="s">
        <v>217</v>
      </c>
      <c r="K76" s="1" t="s">
        <v>4</v>
      </c>
      <c r="L76" s="5">
        <v>42192</v>
      </c>
      <c r="M76" s="11" t="s">
        <v>1171</v>
      </c>
      <c r="N76" s="11" t="str">
        <f t="shared" si="1"/>
        <v>121537</v>
      </c>
      <c r="O76" s="14">
        <v>45658</v>
      </c>
      <c r="P76" s="14"/>
      <c r="Q76" s="14"/>
    </row>
    <row r="77" spans="1:17" ht="10.199999999999999" customHeight="1" x14ac:dyDescent="0.25">
      <c r="A77" s="4" t="s">
        <v>839</v>
      </c>
      <c r="B77" s="4" t="s">
        <v>842</v>
      </c>
      <c r="C77" s="10" t="str">
        <f>MID(Tabela1[[#This Row],[Tributacao]],1,16)</f>
        <v>Simples Nacional</v>
      </c>
      <c r="D77" s="10" t="s">
        <v>1278</v>
      </c>
      <c r="E77" s="10" t="s">
        <v>1305</v>
      </c>
      <c r="F77" s="4">
        <v>122892</v>
      </c>
      <c r="G77" s="1" t="s">
        <v>841</v>
      </c>
      <c r="H77" s="1" t="s">
        <v>219</v>
      </c>
      <c r="I77" s="1" t="s">
        <v>840</v>
      </c>
      <c r="J77" s="1" t="s">
        <v>3</v>
      </c>
      <c r="K77" s="1" t="s">
        <v>4</v>
      </c>
      <c r="L77" s="5">
        <v>45565</v>
      </c>
      <c r="M77" s="11" t="s">
        <v>1218</v>
      </c>
      <c r="N77" s="11" t="str">
        <f t="shared" si="1"/>
        <v>701796</v>
      </c>
      <c r="O77" s="14">
        <v>45658</v>
      </c>
      <c r="P77" s="14"/>
      <c r="Q77" s="14"/>
    </row>
    <row r="78" spans="1:17" ht="10.199999999999999" customHeight="1" x14ac:dyDescent="0.25">
      <c r="A78" s="4" t="s">
        <v>693</v>
      </c>
      <c r="B78" s="4" t="s">
        <v>697</v>
      </c>
      <c r="C78" s="10" t="str">
        <f>MID(Tabela1[[#This Row],[Tributacao]],1,16)</f>
        <v>Simples Nacional</v>
      </c>
      <c r="D78" s="10" t="s">
        <v>1278</v>
      </c>
      <c r="E78" s="10" t="s">
        <v>1308</v>
      </c>
      <c r="F78" s="4">
        <v>300039001927</v>
      </c>
      <c r="G78" s="1" t="s">
        <v>696</v>
      </c>
      <c r="H78" s="1" t="s">
        <v>132</v>
      </c>
      <c r="I78" s="1" t="s">
        <v>694</v>
      </c>
      <c r="J78" s="1" t="s">
        <v>695</v>
      </c>
      <c r="K78" s="1" t="s">
        <v>133</v>
      </c>
      <c r="L78" s="5">
        <v>45099</v>
      </c>
      <c r="M78" s="11" t="s">
        <v>1236</v>
      </c>
      <c r="N78" s="11" t="str">
        <f t="shared" si="1"/>
        <v>032571</v>
      </c>
      <c r="O78" s="14">
        <v>45658</v>
      </c>
      <c r="P78" s="14"/>
      <c r="Q78" s="14"/>
    </row>
    <row r="79" spans="1:17" ht="10.199999999999999" customHeight="1" x14ac:dyDescent="0.25">
      <c r="A79" s="4" t="s">
        <v>698</v>
      </c>
      <c r="B79" s="4" t="s">
        <v>700</v>
      </c>
      <c r="C79" s="10" t="str">
        <f>MID(Tabela1[[#This Row],[Tributacao]],1,16)</f>
        <v>Simples Nacional</v>
      </c>
      <c r="D79" s="10" t="s">
        <v>1278</v>
      </c>
      <c r="E79" s="10" t="s">
        <v>1309</v>
      </c>
      <c r="F79" s="4">
        <v>108797</v>
      </c>
      <c r="G79" s="1" t="s">
        <v>699</v>
      </c>
      <c r="H79" s="1" t="s">
        <v>65</v>
      </c>
      <c r="I79" s="1" t="s">
        <v>99</v>
      </c>
      <c r="J79" s="1" t="s">
        <v>100</v>
      </c>
      <c r="K79" s="1" t="s">
        <v>4</v>
      </c>
      <c r="L79" s="5">
        <v>44743</v>
      </c>
      <c r="M79" s="11" t="s">
        <v>1162</v>
      </c>
      <c r="N79" s="11" t="str">
        <f t="shared" si="1"/>
        <v>895746</v>
      </c>
      <c r="O79" s="14">
        <v>45658</v>
      </c>
      <c r="P79" s="14"/>
      <c r="Q79" s="14"/>
    </row>
    <row r="80" spans="1:17" ht="10.199999999999999" customHeight="1" x14ac:dyDescent="0.25">
      <c r="A80" s="4" t="s">
        <v>762</v>
      </c>
      <c r="B80" s="4" t="s">
        <v>765</v>
      </c>
      <c r="C80" s="10" t="str">
        <f>MID(Tabela1[[#This Row],[Tributacao]],1,16)</f>
        <v>Simples Nacional</v>
      </c>
      <c r="D80" s="10" t="s">
        <v>1278</v>
      </c>
      <c r="E80" s="10" t="s">
        <v>1312</v>
      </c>
      <c r="F80" s="4">
        <v>113099</v>
      </c>
      <c r="G80" s="1" t="s">
        <v>764</v>
      </c>
      <c r="H80" s="1" t="s">
        <v>127</v>
      </c>
      <c r="I80" s="1" t="s">
        <v>273</v>
      </c>
      <c r="J80" s="1" t="s">
        <v>763</v>
      </c>
      <c r="K80" s="1" t="s">
        <v>4</v>
      </c>
      <c r="L80" s="5">
        <v>45296</v>
      </c>
      <c r="M80" s="11" t="s">
        <v>1180</v>
      </c>
      <c r="N80" s="11" t="str">
        <f t="shared" si="1"/>
        <v>015542</v>
      </c>
      <c r="O80" s="14">
        <v>45658</v>
      </c>
      <c r="P80" s="14"/>
      <c r="Q80" s="14"/>
    </row>
    <row r="81" spans="1:17" ht="10.199999999999999" customHeight="1" x14ac:dyDescent="0.25">
      <c r="A81" s="4" t="s">
        <v>134</v>
      </c>
      <c r="B81" s="4" t="s">
        <v>139</v>
      </c>
      <c r="C81" s="10" t="str">
        <f>MID(Tabela1[[#This Row],[Tributacao]],1,16)</f>
        <v>Simples Nacional</v>
      </c>
      <c r="D81" s="10" t="s">
        <v>1278</v>
      </c>
      <c r="E81" s="10" t="s">
        <v>1315</v>
      </c>
      <c r="F81" s="4">
        <v>55912</v>
      </c>
      <c r="G81" s="1" t="s">
        <v>137</v>
      </c>
      <c r="H81" s="1" t="s">
        <v>138</v>
      </c>
      <c r="I81" s="1" t="s">
        <v>135</v>
      </c>
      <c r="J81" s="1" t="s">
        <v>136</v>
      </c>
      <c r="K81" s="1" t="s">
        <v>4</v>
      </c>
      <c r="L81" s="5">
        <v>34684</v>
      </c>
      <c r="M81" s="11" t="s">
        <v>1215</v>
      </c>
      <c r="N81" s="11" t="str">
        <f t="shared" si="1"/>
        <v>879669</v>
      </c>
      <c r="O81" s="14">
        <v>45658</v>
      </c>
      <c r="P81" s="14"/>
      <c r="Q81" s="14"/>
    </row>
    <row r="82" spans="1:17" ht="10.199999999999999" customHeight="1" x14ac:dyDescent="0.25">
      <c r="A82" s="4" t="s">
        <v>713</v>
      </c>
      <c r="B82" s="4" t="s">
        <v>717</v>
      </c>
      <c r="C82" s="10" t="str">
        <f>MID(Tabela1[[#This Row],[Tributacao]],1,16)</f>
        <v>Simples Nacional</v>
      </c>
      <c r="D82" s="10" t="s">
        <v>1278</v>
      </c>
      <c r="E82" s="10" t="s">
        <v>1317</v>
      </c>
      <c r="F82" s="4">
        <v>111257</v>
      </c>
      <c r="G82" s="1" t="s">
        <v>715</v>
      </c>
      <c r="H82" s="1" t="s">
        <v>716</v>
      </c>
      <c r="I82" s="1" t="s">
        <v>714</v>
      </c>
      <c r="J82" s="1" t="s">
        <v>3</v>
      </c>
      <c r="K82" s="1" t="s">
        <v>4</v>
      </c>
      <c r="L82" s="5">
        <v>45148</v>
      </c>
      <c r="M82" s="11" t="s">
        <v>1239</v>
      </c>
      <c r="N82" s="11" t="str">
        <f t="shared" si="1"/>
        <v>022141</v>
      </c>
      <c r="O82" s="14">
        <v>45658</v>
      </c>
      <c r="P82" s="14"/>
      <c r="Q82" s="14"/>
    </row>
    <row r="83" spans="1:17" ht="10.199999999999999" customHeight="1" x14ac:dyDescent="0.25">
      <c r="A83" s="4" t="s">
        <v>466</v>
      </c>
      <c r="B83" s="4" t="s">
        <v>470</v>
      </c>
      <c r="C83" s="10" t="str">
        <f>MID(Tabela1[[#This Row],[Tributacao]],1,16)</f>
        <v>Simples Nacional</v>
      </c>
      <c r="D83" s="10" t="s">
        <v>1278</v>
      </c>
      <c r="E83" s="10" t="s">
        <v>1321</v>
      </c>
      <c r="F83" s="4">
        <v>95823</v>
      </c>
      <c r="G83" s="1" t="s">
        <v>3</v>
      </c>
      <c r="H83" s="1" t="s">
        <v>469</v>
      </c>
      <c r="I83" s="1" t="s">
        <v>467</v>
      </c>
      <c r="J83" s="1" t="s">
        <v>468</v>
      </c>
      <c r="K83" s="1" t="s">
        <v>4</v>
      </c>
      <c r="L83" s="5">
        <v>44134</v>
      </c>
      <c r="M83" s="11" t="s">
        <v>1208</v>
      </c>
      <c r="N83" s="11" t="str">
        <f t="shared" si="1"/>
        <v>034050</v>
      </c>
      <c r="O83" s="14">
        <v>45658</v>
      </c>
      <c r="P83" s="14"/>
      <c r="Q83" s="14"/>
    </row>
    <row r="84" spans="1:17" ht="10.199999999999999" customHeight="1" x14ac:dyDescent="0.25">
      <c r="A84" s="4" t="s">
        <v>834</v>
      </c>
      <c r="B84" s="4" t="s">
        <v>838</v>
      </c>
      <c r="C84" s="10" t="str">
        <f>MID(Tabela1[[#This Row],[Tributacao]],1,16)</f>
        <v>Simples Nacional</v>
      </c>
      <c r="D84" s="10" t="s">
        <v>1278</v>
      </c>
      <c r="E84" s="10" t="s">
        <v>1324</v>
      </c>
      <c r="F84" s="4">
        <v>122910</v>
      </c>
      <c r="G84" s="1" t="s">
        <v>836</v>
      </c>
      <c r="H84" s="1" t="s">
        <v>837</v>
      </c>
      <c r="I84" s="1" t="s">
        <v>835</v>
      </c>
      <c r="J84" s="1" t="s">
        <v>3</v>
      </c>
      <c r="K84" s="1" t="s">
        <v>4</v>
      </c>
      <c r="L84" s="5">
        <v>45561</v>
      </c>
      <c r="M84" s="11" t="s">
        <v>1131</v>
      </c>
      <c r="N84" s="11" t="str">
        <f t="shared" si="1"/>
        <v>880764</v>
      </c>
      <c r="O84" s="14">
        <v>45658</v>
      </c>
      <c r="P84" s="14"/>
      <c r="Q84" s="14"/>
    </row>
    <row r="85" spans="1:17" ht="10.199999999999999" customHeight="1" x14ac:dyDescent="0.25">
      <c r="A85" s="4" t="s">
        <v>1076</v>
      </c>
      <c r="B85" s="4" t="s">
        <v>1079</v>
      </c>
      <c r="C85" s="10" t="str">
        <f>MID(Tabela1[[#This Row],[Tributacao]],1,16)</f>
        <v>Simples Nacional</v>
      </c>
      <c r="D85" s="10" t="s">
        <v>1278</v>
      </c>
      <c r="E85" s="10" t="s">
        <v>1325</v>
      </c>
      <c r="F85" s="4">
        <v>58784</v>
      </c>
      <c r="G85" s="1" t="s">
        <v>72</v>
      </c>
      <c r="H85" s="1" t="s">
        <v>127</v>
      </c>
      <c r="I85" s="1" t="s">
        <v>1077</v>
      </c>
      <c r="J85" s="1" t="s">
        <v>1078</v>
      </c>
      <c r="K85" s="1" t="s">
        <v>4</v>
      </c>
      <c r="L85" s="5">
        <v>39713</v>
      </c>
      <c r="M85" s="11" t="s">
        <v>1140</v>
      </c>
      <c r="N85" s="11" t="str">
        <f t="shared" si="1"/>
        <v>005540</v>
      </c>
      <c r="O85" s="14">
        <v>45658</v>
      </c>
      <c r="P85" s="14"/>
      <c r="Q85" s="14"/>
    </row>
    <row r="86" spans="1:17" ht="10.199999999999999" customHeight="1" x14ac:dyDescent="0.25">
      <c r="A86" s="4" t="s">
        <v>796</v>
      </c>
      <c r="B86" s="4" t="s">
        <v>800</v>
      </c>
      <c r="C86" s="10" t="str">
        <f>MID(Tabela1[[#This Row],[Tributacao]],1,16)</f>
        <v>Simples Nacional</v>
      </c>
      <c r="D86" s="10" t="s">
        <v>1278</v>
      </c>
      <c r="E86" s="10" t="s">
        <v>1326</v>
      </c>
      <c r="F86" s="4">
        <v>114571</v>
      </c>
      <c r="G86" s="1" t="s">
        <v>799</v>
      </c>
      <c r="H86" s="1" t="s">
        <v>91</v>
      </c>
      <c r="I86" s="1" t="s">
        <v>797</v>
      </c>
      <c r="J86" s="1" t="s">
        <v>798</v>
      </c>
      <c r="K86" s="1" t="s">
        <v>4</v>
      </c>
      <c r="L86" s="5">
        <v>43622</v>
      </c>
      <c r="M86" s="11" t="s">
        <v>1252</v>
      </c>
      <c r="N86" s="11" t="str">
        <f t="shared" si="1"/>
        <v>730717</v>
      </c>
      <c r="O86" s="14">
        <v>45658</v>
      </c>
      <c r="P86" s="14"/>
      <c r="Q86" s="14"/>
    </row>
    <row r="87" spans="1:17" ht="10.199999999999999" customHeight="1" x14ac:dyDescent="0.25">
      <c r="A87" s="4" t="s">
        <v>402</v>
      </c>
      <c r="B87" s="4" t="s">
        <v>406</v>
      </c>
      <c r="C87" s="10" t="str">
        <f>MID(Tabela1[[#This Row],[Tributacao]],1,16)</f>
        <v>Simples Nacional</v>
      </c>
      <c r="D87" s="10" t="s">
        <v>1278</v>
      </c>
      <c r="E87" s="10" t="s">
        <v>1327</v>
      </c>
      <c r="F87" s="4">
        <v>91860981</v>
      </c>
      <c r="G87" s="1" t="s">
        <v>405</v>
      </c>
      <c r="H87" s="1" t="s">
        <v>193</v>
      </c>
      <c r="I87" s="1" t="s">
        <v>403</v>
      </c>
      <c r="J87" s="1" t="s">
        <v>404</v>
      </c>
      <c r="K87" s="1" t="s">
        <v>81</v>
      </c>
      <c r="L87" s="5">
        <v>42501</v>
      </c>
      <c r="M87" s="11" t="s">
        <v>1198</v>
      </c>
      <c r="N87" s="11" t="str">
        <f t="shared" si="1"/>
        <v>015798</v>
      </c>
      <c r="O87" s="14">
        <v>45658</v>
      </c>
      <c r="P87" s="14"/>
      <c r="Q87" s="14"/>
    </row>
    <row r="88" spans="1:17" ht="10.199999999999999" customHeight="1" x14ac:dyDescent="0.25">
      <c r="A88" s="4" t="s">
        <v>428</v>
      </c>
      <c r="B88" s="4" t="s">
        <v>431</v>
      </c>
      <c r="C88" s="10" t="str">
        <f>MID(Tabela1[[#This Row],[Tributacao]],1,16)</f>
        <v>Simples Nacional</v>
      </c>
      <c r="D88" s="10" t="s">
        <v>1278</v>
      </c>
      <c r="E88" s="10" t="s">
        <v>1328</v>
      </c>
      <c r="F88" s="4">
        <v>33152672</v>
      </c>
      <c r="G88" s="1" t="s">
        <v>430</v>
      </c>
      <c r="H88" s="1" t="s">
        <v>193</v>
      </c>
      <c r="I88" s="1" t="s">
        <v>429</v>
      </c>
      <c r="J88" s="1" t="s">
        <v>366</v>
      </c>
      <c r="K88" s="1" t="s">
        <v>297</v>
      </c>
      <c r="L88" s="5">
        <v>36213</v>
      </c>
      <c r="M88" s="11" t="s">
        <v>1201</v>
      </c>
      <c r="N88" s="11" t="str">
        <f t="shared" si="1"/>
        <v>700935</v>
      </c>
      <c r="O88" s="14">
        <v>45658</v>
      </c>
      <c r="P88" s="14"/>
      <c r="Q88" s="14"/>
    </row>
    <row r="89" spans="1:17" ht="10.199999999999999" customHeight="1" x14ac:dyDescent="0.25">
      <c r="A89" s="4" t="s">
        <v>374</v>
      </c>
      <c r="B89" s="4" t="s">
        <v>376</v>
      </c>
      <c r="C89" s="10" t="str">
        <f>MID(Tabela1[[#This Row],[Tributacao]],1,16)</f>
        <v>Simples Nacional</v>
      </c>
      <c r="D89" s="10" t="s">
        <v>1278</v>
      </c>
      <c r="E89" s="10" t="s">
        <v>1329</v>
      </c>
      <c r="F89" s="4">
        <v>215534</v>
      </c>
      <c r="G89" s="1" t="s">
        <v>3</v>
      </c>
      <c r="H89" s="1" t="s">
        <v>193</v>
      </c>
      <c r="I89" s="1" t="s">
        <v>375</v>
      </c>
      <c r="J89" s="1" t="s">
        <v>366</v>
      </c>
      <c r="K89" s="1" t="s">
        <v>10</v>
      </c>
      <c r="L89" s="5">
        <v>43486</v>
      </c>
      <c r="M89" s="11" t="s">
        <v>1193</v>
      </c>
      <c r="N89" s="11" t="str">
        <f t="shared" si="1"/>
        <v>700935</v>
      </c>
      <c r="O89" s="14">
        <v>45658</v>
      </c>
      <c r="P89" s="14"/>
      <c r="Q89" s="14"/>
    </row>
    <row r="90" spans="1:17" ht="10.199999999999999" customHeight="1" x14ac:dyDescent="0.25">
      <c r="A90" s="4" t="s">
        <v>432</v>
      </c>
      <c r="B90" s="4" t="s">
        <v>434</v>
      </c>
      <c r="C90" s="10" t="str">
        <f>MID(Tabela1[[#This Row],[Tributacao]],1,16)</f>
        <v>Simples Nacional</v>
      </c>
      <c r="D90" s="10" t="s">
        <v>1278</v>
      </c>
      <c r="E90" s="10" t="s">
        <v>1332</v>
      </c>
      <c r="F90" s="4">
        <v>80963</v>
      </c>
      <c r="G90" s="1" t="s">
        <v>433</v>
      </c>
      <c r="H90" s="1" t="s">
        <v>193</v>
      </c>
      <c r="I90" s="1" t="s">
        <v>375</v>
      </c>
      <c r="J90" s="1" t="s">
        <v>366</v>
      </c>
      <c r="K90" s="1" t="s">
        <v>4</v>
      </c>
      <c r="L90" s="5">
        <v>42627</v>
      </c>
      <c r="M90" s="11" t="s">
        <v>1193</v>
      </c>
      <c r="N90" s="11" t="str">
        <f t="shared" si="1"/>
        <v>700935</v>
      </c>
      <c r="O90" s="14">
        <v>45658</v>
      </c>
      <c r="P90" s="14"/>
      <c r="Q90" s="14"/>
    </row>
    <row r="91" spans="1:17" ht="10.199999999999999" customHeight="1" x14ac:dyDescent="0.25">
      <c r="A91" s="4" t="s">
        <v>793</v>
      </c>
      <c r="B91" s="4" t="s">
        <v>795</v>
      </c>
      <c r="C91" s="10" t="str">
        <f>MID(Tabela1[[#This Row],[Tributacao]],1,16)</f>
        <v>Simples Nacional</v>
      </c>
      <c r="D91" s="10" t="s">
        <v>1278</v>
      </c>
      <c r="E91" s="10" t="s">
        <v>1335</v>
      </c>
      <c r="F91" s="4">
        <v>113996</v>
      </c>
      <c r="G91" s="1" t="s">
        <v>794</v>
      </c>
      <c r="H91" s="1" t="s">
        <v>219</v>
      </c>
      <c r="I91" s="1" t="s">
        <v>216</v>
      </c>
      <c r="J91" s="1" t="s">
        <v>217</v>
      </c>
      <c r="K91" s="1" t="s">
        <v>4</v>
      </c>
      <c r="L91" s="5">
        <v>45370</v>
      </c>
      <c r="M91" s="11" t="s">
        <v>1171</v>
      </c>
      <c r="N91" s="11" t="str">
        <f t="shared" si="1"/>
        <v>121537</v>
      </c>
      <c r="O91" s="14">
        <v>45658</v>
      </c>
      <c r="P91" s="14"/>
      <c r="Q91" s="14"/>
    </row>
    <row r="92" spans="1:17" ht="10.199999999999999" customHeight="1" x14ac:dyDescent="0.25">
      <c r="A92" s="4" t="s">
        <v>983</v>
      </c>
      <c r="B92" s="4" t="s">
        <v>987</v>
      </c>
      <c r="C92" s="10" t="str">
        <f>MID(Tabela1[[#This Row],[Tributacao]],1,16)</f>
        <v>Simples Nacional</v>
      </c>
      <c r="D92" s="10" t="s">
        <v>1278</v>
      </c>
      <c r="E92" s="10" t="s">
        <v>1336</v>
      </c>
      <c r="F92" s="4">
        <v>46745</v>
      </c>
      <c r="G92" s="1" t="s">
        <v>986</v>
      </c>
      <c r="H92" s="1" t="s">
        <v>80</v>
      </c>
      <c r="I92" s="1" t="s">
        <v>984</v>
      </c>
      <c r="J92" s="1" t="s">
        <v>985</v>
      </c>
      <c r="K92" s="1" t="s">
        <v>4</v>
      </c>
      <c r="L92" s="5">
        <v>36641</v>
      </c>
      <c r="M92" s="11" t="s">
        <v>1121</v>
      </c>
      <c r="N92" s="11" t="str">
        <f t="shared" si="1"/>
        <v>810609</v>
      </c>
      <c r="O92" s="14">
        <v>45658</v>
      </c>
      <c r="P92" s="14"/>
      <c r="Q92" s="14"/>
    </row>
    <row r="93" spans="1:17" ht="10.199999999999999" customHeight="1" x14ac:dyDescent="0.25">
      <c r="A93" s="4" t="s">
        <v>862</v>
      </c>
      <c r="B93" s="4" t="s">
        <v>865</v>
      </c>
      <c r="C93" s="10" t="str">
        <f>MID(Tabela1[[#This Row],[Tributacao]],1,16)</f>
        <v>Simples Nacional</v>
      </c>
      <c r="D93" s="10" t="s">
        <v>1278</v>
      </c>
      <c r="E93" s="10" t="s">
        <v>1337</v>
      </c>
      <c r="F93" s="4">
        <v>124513</v>
      </c>
      <c r="G93" s="1" t="s">
        <v>864</v>
      </c>
      <c r="H93" s="1" t="s">
        <v>781</v>
      </c>
      <c r="I93" s="1" t="s">
        <v>863</v>
      </c>
      <c r="J93" s="1" t="s">
        <v>3</v>
      </c>
      <c r="K93" s="1" t="s">
        <v>4</v>
      </c>
      <c r="L93" s="5">
        <v>45401</v>
      </c>
      <c r="M93" s="11" t="s">
        <v>1260</v>
      </c>
      <c r="N93" s="11" t="str">
        <f t="shared" si="1"/>
        <v>052626</v>
      </c>
      <c r="O93" s="14">
        <v>45658</v>
      </c>
      <c r="P93" s="14"/>
      <c r="Q93" s="14"/>
    </row>
    <row r="94" spans="1:17" ht="10.199999999999999" customHeight="1" x14ac:dyDescent="0.25">
      <c r="A94" s="4" t="s">
        <v>931</v>
      </c>
      <c r="B94" s="4" t="s">
        <v>935</v>
      </c>
      <c r="C94" s="10" t="str">
        <f>MID(Tabela1[[#This Row],[Tributacao]],1,16)</f>
        <v>Simples Nacional</v>
      </c>
      <c r="D94" s="10" t="s">
        <v>1278</v>
      </c>
      <c r="E94" s="10" t="s">
        <v>932</v>
      </c>
      <c r="F94" s="4">
        <v>970832</v>
      </c>
      <c r="G94" s="1" t="s">
        <v>3</v>
      </c>
      <c r="H94" s="1" t="s">
        <v>781</v>
      </c>
      <c r="I94" s="1" t="s">
        <v>933</v>
      </c>
      <c r="J94" s="1" t="s">
        <v>934</v>
      </c>
      <c r="K94" s="1" t="s">
        <v>890</v>
      </c>
      <c r="L94" s="5">
        <v>45839</v>
      </c>
      <c r="M94" s="11" t="s">
        <v>1273</v>
      </c>
      <c r="N94" s="11" t="str">
        <f t="shared" si="1"/>
        <v>083976</v>
      </c>
      <c r="O94" s="14">
        <f>L94</f>
        <v>45839</v>
      </c>
      <c r="P94" s="14"/>
      <c r="Q94" s="14"/>
    </row>
    <row r="95" spans="1:17" ht="10.199999999999999" customHeight="1" x14ac:dyDescent="0.25">
      <c r="A95" s="4" t="s">
        <v>1019</v>
      </c>
      <c r="B95" s="4" t="s">
        <v>1022</v>
      </c>
      <c r="C95" s="10" t="str">
        <f>MID(Tabela1[[#This Row],[Tributacao]],1,16)</f>
        <v>Simples Nacional</v>
      </c>
      <c r="D95" s="10" t="s">
        <v>1278</v>
      </c>
      <c r="E95" s="10" t="s">
        <v>1340</v>
      </c>
      <c r="F95" s="4">
        <v>5669</v>
      </c>
      <c r="G95" s="1" t="s">
        <v>1021</v>
      </c>
      <c r="H95" s="1" t="s">
        <v>132</v>
      </c>
      <c r="I95" s="1" t="s">
        <v>802</v>
      </c>
      <c r="J95" s="1" t="s">
        <v>1020</v>
      </c>
      <c r="K95" s="1" t="s">
        <v>359</v>
      </c>
      <c r="L95" s="5">
        <v>37252</v>
      </c>
      <c r="M95" s="11" t="s">
        <v>801</v>
      </c>
      <c r="N95" s="11" t="str">
        <f t="shared" si="1"/>
        <v>006256</v>
      </c>
      <c r="O95" s="14">
        <v>45658</v>
      </c>
      <c r="P95" s="14"/>
      <c r="Q95" s="14"/>
    </row>
    <row r="96" spans="1:17" ht="10.199999999999999" customHeight="1" x14ac:dyDescent="0.25">
      <c r="A96" s="4" t="s">
        <v>1105</v>
      </c>
      <c r="B96" s="4" t="s">
        <v>1108</v>
      </c>
      <c r="C96" s="10" t="str">
        <f>MID(Tabela1[[#This Row],[Tributacao]],1,16)</f>
        <v>Simples Nacional</v>
      </c>
      <c r="D96" s="10" t="s">
        <v>1278</v>
      </c>
      <c r="E96" s="10" t="s">
        <v>1343</v>
      </c>
      <c r="F96" s="4">
        <v>60352</v>
      </c>
      <c r="G96" s="1" t="s">
        <v>1107</v>
      </c>
      <c r="H96" s="1" t="s">
        <v>388</v>
      </c>
      <c r="I96" s="1" t="s">
        <v>1106</v>
      </c>
      <c r="J96" s="1" t="s">
        <v>298</v>
      </c>
      <c r="K96" s="1" t="s">
        <v>4</v>
      </c>
      <c r="L96" s="5">
        <v>40093</v>
      </c>
      <c r="M96" s="11" t="s">
        <v>1144</v>
      </c>
      <c r="N96" s="11" t="str">
        <f t="shared" si="1"/>
        <v>958880</v>
      </c>
      <c r="O96" s="14">
        <v>45658</v>
      </c>
      <c r="P96" s="14"/>
      <c r="Q96" s="14"/>
    </row>
    <row r="97" spans="1:17" ht="10.199999999999999" customHeight="1" x14ac:dyDescent="0.25">
      <c r="A97" s="4" t="s">
        <v>947</v>
      </c>
      <c r="B97" s="4" t="s">
        <v>951</v>
      </c>
      <c r="C97" s="10" t="str">
        <f>MID(Tabela1[[#This Row],[Tributacao]],1,16)</f>
        <v>Simples Nacional</v>
      </c>
      <c r="D97" s="10" t="s">
        <v>1278</v>
      </c>
      <c r="E97" s="10" t="s">
        <v>948</v>
      </c>
      <c r="F97" s="4">
        <v>128346</v>
      </c>
      <c r="G97" s="1" t="s">
        <v>3</v>
      </c>
      <c r="H97" s="1" t="s">
        <v>950</v>
      </c>
      <c r="I97" s="1" t="s">
        <v>631</v>
      </c>
      <c r="J97" s="1" t="s">
        <v>949</v>
      </c>
      <c r="K97" s="1" t="s">
        <v>4</v>
      </c>
      <c r="L97" s="5">
        <v>45966</v>
      </c>
      <c r="M97" s="11" t="s">
        <v>1226</v>
      </c>
      <c r="N97" s="11" t="str">
        <f t="shared" si="1"/>
        <v>731018</v>
      </c>
      <c r="O97" s="14">
        <f>L97</f>
        <v>45966</v>
      </c>
      <c r="P97" s="14"/>
      <c r="Q97" s="14"/>
    </row>
    <row r="98" spans="1:17" ht="10.199999999999999" customHeight="1" x14ac:dyDescent="0.25">
      <c r="A98" s="4" t="s">
        <v>872</v>
      </c>
      <c r="B98" s="4" t="s">
        <v>876</v>
      </c>
      <c r="C98" s="10" t="str">
        <f>MID(Tabela1[[#This Row],[Tributacao]],1,16)</f>
        <v>Simples Nacional</v>
      </c>
      <c r="D98" s="10" t="s">
        <v>1278</v>
      </c>
      <c r="E98" s="10" t="s">
        <v>1348</v>
      </c>
      <c r="F98" s="4">
        <v>124114</v>
      </c>
      <c r="G98" s="1" t="s">
        <v>875</v>
      </c>
      <c r="H98" s="1" t="s">
        <v>65</v>
      </c>
      <c r="I98" s="1" t="s">
        <v>873</v>
      </c>
      <c r="J98" s="1" t="s">
        <v>874</v>
      </c>
      <c r="K98" s="1" t="s">
        <v>4</v>
      </c>
      <c r="L98" s="5">
        <v>45667</v>
      </c>
      <c r="M98" s="11" t="s">
        <v>1262</v>
      </c>
      <c r="N98" s="11" t="str">
        <f t="shared" si="1"/>
        <v>032132</v>
      </c>
      <c r="O98" s="14">
        <f>L98</f>
        <v>45667</v>
      </c>
      <c r="P98" s="14"/>
      <c r="Q98" s="14"/>
    </row>
    <row r="99" spans="1:17" ht="10.199999999999999" customHeight="1" x14ac:dyDescent="0.25">
      <c r="A99" s="4" t="s">
        <v>593</v>
      </c>
      <c r="B99" s="4" t="s">
        <v>597</v>
      </c>
      <c r="C99" s="10" t="str">
        <f>MID(Tabela1[[#This Row],[Tributacao]],1,16)</f>
        <v>Simples Nacional</v>
      </c>
      <c r="D99" s="10" t="s">
        <v>1278</v>
      </c>
      <c r="E99" s="10" t="s">
        <v>1349</v>
      </c>
      <c r="F99" s="4">
        <v>104309</v>
      </c>
      <c r="G99" s="1" t="s">
        <v>596</v>
      </c>
      <c r="H99" s="1" t="s">
        <v>91</v>
      </c>
      <c r="I99" s="1" t="s">
        <v>594</v>
      </c>
      <c r="J99" s="1" t="s">
        <v>595</v>
      </c>
      <c r="K99" s="1" t="s">
        <v>4</v>
      </c>
      <c r="L99" s="5">
        <v>44725</v>
      </c>
      <c r="M99" s="11" t="s">
        <v>1174</v>
      </c>
      <c r="N99" s="11" t="str">
        <f t="shared" si="1"/>
        <v>697507</v>
      </c>
      <c r="O99" s="14">
        <v>45658</v>
      </c>
      <c r="P99" s="14"/>
      <c r="Q99" s="14"/>
    </row>
    <row r="100" spans="1:17" ht="10.199999999999999" customHeight="1" x14ac:dyDescent="0.25">
      <c r="A100" s="4" t="s">
        <v>1073</v>
      </c>
      <c r="B100" s="4" t="s">
        <v>358</v>
      </c>
      <c r="C100" s="10" t="str">
        <f>MID(Tabela1[[#This Row],[Tributacao]],1,16)</f>
        <v>Simples Nacional</v>
      </c>
      <c r="D100" s="10" t="s">
        <v>1278</v>
      </c>
      <c r="E100" s="10" t="s">
        <v>1354</v>
      </c>
      <c r="F100" s="4">
        <v>1109501</v>
      </c>
      <c r="G100" s="1" t="s">
        <v>1075</v>
      </c>
      <c r="H100" s="1" t="s">
        <v>132</v>
      </c>
      <c r="I100" s="1" t="s">
        <v>356</v>
      </c>
      <c r="J100" s="1" t="s">
        <v>1074</v>
      </c>
      <c r="K100" s="1" t="s">
        <v>187</v>
      </c>
      <c r="L100" s="5">
        <v>39756</v>
      </c>
      <c r="M100" s="11" t="s">
        <v>1234</v>
      </c>
      <c r="N100" s="11" t="str">
        <f t="shared" si="1"/>
        <v>016577</v>
      </c>
      <c r="O100" s="14">
        <v>45658</v>
      </c>
      <c r="P100" s="14"/>
      <c r="Q100" s="14"/>
    </row>
    <row r="101" spans="1:17" ht="10.199999999999999" customHeight="1" x14ac:dyDescent="0.25">
      <c r="A101" s="4" t="s">
        <v>76</v>
      </c>
      <c r="B101" s="4" t="s">
        <v>77</v>
      </c>
      <c r="C101" s="10" t="str">
        <f>MID(Tabela1[[#This Row],[Tributacao]],1,16)</f>
        <v>Simples Nacional</v>
      </c>
      <c r="D101" s="10" t="s">
        <v>1278</v>
      </c>
      <c r="E101" s="10" t="s">
        <v>1355</v>
      </c>
      <c r="F101" s="4">
        <v>66567</v>
      </c>
      <c r="G101" s="1" t="s">
        <v>79</v>
      </c>
      <c r="H101" s="1" t="s">
        <v>80</v>
      </c>
      <c r="I101" s="1" t="s">
        <v>77</v>
      </c>
      <c r="J101" s="1" t="s">
        <v>78</v>
      </c>
      <c r="K101" s="1" t="s">
        <v>4</v>
      </c>
      <c r="L101" s="5">
        <v>40886</v>
      </c>
      <c r="M101" s="11" t="s">
        <v>1158</v>
      </c>
      <c r="N101" s="11" t="str">
        <f t="shared" si="1"/>
        <v>355105</v>
      </c>
      <c r="O101" s="14">
        <v>45658</v>
      </c>
      <c r="P101" s="14"/>
      <c r="Q101" s="14"/>
    </row>
    <row r="102" spans="1:17" ht="10.199999999999999" customHeight="1" x14ac:dyDescent="0.25">
      <c r="A102" s="4" t="s">
        <v>679</v>
      </c>
      <c r="B102" s="4" t="s">
        <v>684</v>
      </c>
      <c r="C102" s="10" t="str">
        <f>MID(Tabela1[[#This Row],[Tributacao]],1,16)</f>
        <v>Simples Nacional</v>
      </c>
      <c r="D102" s="10" t="s">
        <v>1278</v>
      </c>
      <c r="E102" s="10" t="s">
        <v>1361</v>
      </c>
      <c r="F102" s="4">
        <v>26940552001010</v>
      </c>
      <c r="G102" s="1" t="s">
        <v>682</v>
      </c>
      <c r="H102" s="1" t="s">
        <v>132</v>
      </c>
      <c r="I102" s="1" t="s">
        <v>680</v>
      </c>
      <c r="J102" s="1" t="s">
        <v>681</v>
      </c>
      <c r="K102" s="1" t="s">
        <v>683</v>
      </c>
      <c r="L102" s="5">
        <v>45055</v>
      </c>
      <c r="M102" s="11" t="s">
        <v>1233</v>
      </c>
      <c r="N102" s="11" t="str">
        <f t="shared" si="1"/>
        <v>004821</v>
      </c>
      <c r="O102" s="14">
        <v>45658</v>
      </c>
      <c r="P102" s="14"/>
      <c r="Q102" s="14"/>
    </row>
    <row r="103" spans="1:17" ht="10.199999999999999" customHeight="1" x14ac:dyDescent="0.25">
      <c r="A103" s="4" t="s">
        <v>944</v>
      </c>
      <c r="B103" s="4" t="s">
        <v>946</v>
      </c>
      <c r="C103" s="10" t="str">
        <f>MID(Tabela1[[#This Row],[Tributacao]],1,16)</f>
        <v>Simples Nacional</v>
      </c>
      <c r="D103" s="10" t="s">
        <v>1278</v>
      </c>
      <c r="E103" s="10" t="s">
        <v>1362</v>
      </c>
      <c r="F103" s="4">
        <v>128155</v>
      </c>
      <c r="G103" s="1" t="s">
        <v>3</v>
      </c>
      <c r="H103" s="1" t="s">
        <v>193</v>
      </c>
      <c r="I103" s="1" t="s">
        <v>365</v>
      </c>
      <c r="J103" s="1" t="s">
        <v>945</v>
      </c>
      <c r="K103" s="1" t="s">
        <v>4</v>
      </c>
      <c r="L103" s="5">
        <v>45965</v>
      </c>
      <c r="M103" s="11" t="s">
        <v>1200</v>
      </c>
      <c r="N103" s="11" t="str">
        <f t="shared" si="1"/>
        <v>789418</v>
      </c>
      <c r="O103" s="14">
        <f>L103</f>
        <v>45965</v>
      </c>
      <c r="P103" s="14"/>
      <c r="Q103" s="14"/>
    </row>
    <row r="104" spans="1:17" ht="10.199999999999999" customHeight="1" x14ac:dyDescent="0.25">
      <c r="A104" s="4" t="s">
        <v>588</v>
      </c>
      <c r="B104" s="4" t="s">
        <v>592</v>
      </c>
      <c r="C104" s="10" t="str">
        <f>MID(Tabela1[[#This Row],[Tributacao]],1,16)</f>
        <v>Simples Nacional</v>
      </c>
      <c r="D104" s="10" t="s">
        <v>1278</v>
      </c>
      <c r="E104" s="10" t="s">
        <v>1363</v>
      </c>
      <c r="F104" s="4">
        <v>104277</v>
      </c>
      <c r="G104" s="1" t="s">
        <v>591</v>
      </c>
      <c r="H104" s="1" t="s">
        <v>469</v>
      </c>
      <c r="I104" s="1" t="s">
        <v>589</v>
      </c>
      <c r="J104" s="1" t="s">
        <v>590</v>
      </c>
      <c r="K104" s="1" t="s">
        <v>4</v>
      </c>
      <c r="L104" s="5">
        <v>44725</v>
      </c>
      <c r="M104" s="11" t="s">
        <v>1221</v>
      </c>
      <c r="N104" s="11" t="str">
        <f t="shared" si="1"/>
        <v>024811</v>
      </c>
      <c r="O104" s="14">
        <v>45658</v>
      </c>
      <c r="P104" s="14"/>
      <c r="Q104" s="14"/>
    </row>
    <row r="105" spans="1:17" ht="10.199999999999999" customHeight="1" x14ac:dyDescent="0.25">
      <c r="A105" s="4" t="s">
        <v>546</v>
      </c>
      <c r="B105" s="4" t="s">
        <v>550</v>
      </c>
      <c r="C105" s="10" t="str">
        <f>MID(Tabela1[[#This Row],[Tributacao]],1,16)</f>
        <v>Simples Nacional</v>
      </c>
      <c r="D105" s="10" t="s">
        <v>1278</v>
      </c>
      <c r="E105" s="10" t="s">
        <v>1366</v>
      </c>
      <c r="F105" s="4">
        <v>103321</v>
      </c>
      <c r="G105" s="1" t="s">
        <v>549</v>
      </c>
      <c r="H105" s="1" t="s">
        <v>91</v>
      </c>
      <c r="I105" s="1" t="s">
        <v>547</v>
      </c>
      <c r="J105" s="1" t="s">
        <v>548</v>
      </c>
      <c r="K105" s="1" t="s">
        <v>4</v>
      </c>
      <c r="L105" s="5">
        <v>44664</v>
      </c>
      <c r="M105" s="11" t="s">
        <v>1271</v>
      </c>
      <c r="N105" s="11" t="str">
        <f t="shared" si="1"/>
        <v>710668</v>
      </c>
      <c r="O105" s="14">
        <v>45658</v>
      </c>
      <c r="P105" s="14"/>
      <c r="Q105" s="14"/>
    </row>
    <row r="106" spans="1:17" ht="10.199999999999999" customHeight="1" x14ac:dyDescent="0.25">
      <c r="A106" s="4" t="s">
        <v>969</v>
      </c>
      <c r="B106" s="4" t="s">
        <v>973</v>
      </c>
      <c r="C106" s="10" t="str">
        <f>MID(Tabela1[[#This Row],[Tributacao]],1,16)</f>
        <v>Simples Nacional</v>
      </c>
      <c r="D106" s="10" t="s">
        <v>1278</v>
      </c>
      <c r="E106" s="10" t="s">
        <v>1368</v>
      </c>
      <c r="F106" s="4">
        <v>22141</v>
      </c>
      <c r="G106" s="1" t="s">
        <v>971</v>
      </c>
      <c r="H106" s="1" t="s">
        <v>972</v>
      </c>
      <c r="I106" s="1" t="s">
        <v>970</v>
      </c>
      <c r="J106" s="1" t="s">
        <v>603</v>
      </c>
      <c r="K106" s="1" t="s">
        <v>4</v>
      </c>
      <c r="L106" s="5">
        <v>31693</v>
      </c>
      <c r="M106" s="11" t="s">
        <v>1227</v>
      </c>
      <c r="N106" s="11" t="str">
        <f t="shared" si="1"/>
        <v>950734</v>
      </c>
      <c r="O106" s="14">
        <v>45658</v>
      </c>
      <c r="P106" s="14"/>
      <c r="Q106" s="14"/>
    </row>
    <row r="107" spans="1:17" ht="10.199999999999999" customHeight="1" x14ac:dyDescent="0.25">
      <c r="A107" s="4" t="s">
        <v>656</v>
      </c>
      <c r="B107" s="4" t="s">
        <v>661</v>
      </c>
      <c r="C107" s="10" t="str">
        <f>MID(Tabela1[[#This Row],[Tributacao]],1,16)</f>
        <v>Simples Nacional</v>
      </c>
      <c r="D107" s="10" t="s">
        <v>1278</v>
      </c>
      <c r="E107" s="10" t="s">
        <v>1374</v>
      </c>
      <c r="F107" s="4">
        <v>12056010511</v>
      </c>
      <c r="G107" s="1" t="s">
        <v>659</v>
      </c>
      <c r="H107" s="1" t="s">
        <v>132</v>
      </c>
      <c r="I107" s="1" t="s">
        <v>657</v>
      </c>
      <c r="J107" s="1" t="s">
        <v>658</v>
      </c>
      <c r="K107" s="1" t="s">
        <v>660</v>
      </c>
      <c r="L107" s="5">
        <v>44987</v>
      </c>
      <c r="M107" s="11" t="s">
        <v>1229</v>
      </c>
      <c r="N107" s="11" t="str">
        <f t="shared" si="1"/>
        <v>018572</v>
      </c>
      <c r="O107" s="14">
        <v>45658</v>
      </c>
      <c r="P107" s="14"/>
      <c r="Q107" s="14"/>
    </row>
    <row r="108" spans="1:17" ht="10.199999999999999" customHeight="1" x14ac:dyDescent="0.25">
      <c r="A108" s="4" t="s">
        <v>741</v>
      </c>
      <c r="B108" s="4" t="s">
        <v>746</v>
      </c>
      <c r="C108" s="10" t="str">
        <f>MID(Tabela1[[#This Row],[Tributacao]],1,16)</f>
        <v>Simples Nacional</v>
      </c>
      <c r="D108" s="10" t="s">
        <v>1278</v>
      </c>
      <c r="E108" s="10" t="s">
        <v>1376</v>
      </c>
      <c r="F108" s="4">
        <v>91861866</v>
      </c>
      <c r="G108" s="1" t="s">
        <v>744</v>
      </c>
      <c r="H108" s="1" t="s">
        <v>745</v>
      </c>
      <c r="I108" s="1" t="s">
        <v>742</v>
      </c>
      <c r="J108" s="1" t="s">
        <v>743</v>
      </c>
      <c r="K108" s="1" t="s">
        <v>81</v>
      </c>
      <c r="L108" s="5">
        <v>45218</v>
      </c>
      <c r="M108" s="11" t="s">
        <v>1244</v>
      </c>
      <c r="N108" s="11" t="str">
        <f t="shared" si="1"/>
        <v>709583</v>
      </c>
      <c r="O108" s="14">
        <v>45658</v>
      </c>
      <c r="P108" s="14"/>
      <c r="Q108" s="14"/>
    </row>
    <row r="109" spans="1:17" ht="10.199999999999999" customHeight="1" x14ac:dyDescent="0.25">
      <c r="A109" s="4" t="s">
        <v>561</v>
      </c>
      <c r="B109" s="4" t="s">
        <v>564</v>
      </c>
      <c r="C109" s="10" t="str">
        <f>MID(Tabela1[[#This Row],[Tributacao]],1,16)</f>
        <v>Simples Nacional</v>
      </c>
      <c r="D109" s="10" t="s">
        <v>1278</v>
      </c>
      <c r="E109" s="10" t="s">
        <v>1377</v>
      </c>
      <c r="F109" s="4">
        <v>103917</v>
      </c>
      <c r="G109" s="1" t="s">
        <v>563</v>
      </c>
      <c r="H109" s="1" t="s">
        <v>219</v>
      </c>
      <c r="I109" s="1" t="s">
        <v>562</v>
      </c>
      <c r="J109" s="1" t="s">
        <v>217</v>
      </c>
      <c r="K109" s="1" t="s">
        <v>4</v>
      </c>
      <c r="L109" s="5">
        <v>44702</v>
      </c>
      <c r="M109" s="11" t="s">
        <v>1172</v>
      </c>
      <c r="N109" s="11" t="str">
        <f t="shared" si="1"/>
        <v>520398</v>
      </c>
      <c r="O109" s="14">
        <v>45658</v>
      </c>
      <c r="P109" s="14"/>
      <c r="Q109" s="14"/>
    </row>
    <row r="110" spans="1:17" ht="10.199999999999999" customHeight="1" x14ac:dyDescent="0.25">
      <c r="A110" s="4" t="s">
        <v>988</v>
      </c>
      <c r="B110" s="4" t="s">
        <v>992</v>
      </c>
      <c r="C110" s="10" t="str">
        <f>MID(Tabela1[[#This Row],[Tributacao]],1,16)</f>
        <v>Simples Nacional</v>
      </c>
      <c r="D110" s="10" t="s">
        <v>1278</v>
      </c>
      <c r="E110" s="10" t="s">
        <v>1378</v>
      </c>
      <c r="F110" s="4">
        <v>49434</v>
      </c>
      <c r="G110" s="1" t="s">
        <v>990</v>
      </c>
      <c r="H110" s="1" t="s">
        <v>991</v>
      </c>
      <c r="I110" s="1" t="s">
        <v>989</v>
      </c>
      <c r="J110" s="1" t="s">
        <v>576</v>
      </c>
      <c r="K110" s="1" t="s">
        <v>4</v>
      </c>
      <c r="L110" s="5">
        <v>37245</v>
      </c>
      <c r="M110" s="11" t="s">
        <v>1122</v>
      </c>
      <c r="N110" s="11" t="str">
        <f t="shared" si="1"/>
        <v>401817</v>
      </c>
      <c r="O110" s="14">
        <v>45658</v>
      </c>
      <c r="P110" s="14"/>
      <c r="Q110" s="14"/>
    </row>
    <row r="111" spans="1:17" ht="10.199999999999999" customHeight="1" x14ac:dyDescent="0.25">
      <c r="A111" s="4" t="s">
        <v>857</v>
      </c>
      <c r="B111" s="4" t="s">
        <v>861</v>
      </c>
      <c r="C111" s="10" t="str">
        <f>MID(Tabela1[[#This Row],[Tributacao]],1,16)</f>
        <v>Simples Nacional</v>
      </c>
      <c r="D111" s="10" t="s">
        <v>1278</v>
      </c>
      <c r="E111" s="10" t="s">
        <v>1380</v>
      </c>
      <c r="F111" s="4">
        <v>123602</v>
      </c>
      <c r="G111" s="1" t="s">
        <v>860</v>
      </c>
      <c r="H111" s="1" t="s">
        <v>80</v>
      </c>
      <c r="I111" s="1" t="s">
        <v>858</v>
      </c>
      <c r="J111" s="1" t="s">
        <v>859</v>
      </c>
      <c r="K111" s="1" t="s">
        <v>4</v>
      </c>
      <c r="L111" s="5">
        <v>45615</v>
      </c>
      <c r="M111" s="11" t="s">
        <v>1259</v>
      </c>
      <c r="N111" s="11" t="str">
        <f t="shared" si="1"/>
        <v>012754</v>
      </c>
      <c r="O111" s="14">
        <v>45658</v>
      </c>
      <c r="P111" s="14"/>
      <c r="Q111" s="14"/>
    </row>
    <row r="112" spans="1:17" ht="10.199999999999999" customHeight="1" x14ac:dyDescent="0.25">
      <c r="A112" s="4" t="s">
        <v>531</v>
      </c>
      <c r="B112" s="4" t="s">
        <v>535</v>
      </c>
      <c r="C112" s="10" t="str">
        <f>MID(Tabela1[[#This Row],[Tributacao]],1,16)</f>
        <v>Simples Nacional</v>
      </c>
      <c r="D112" s="10" t="s">
        <v>1278</v>
      </c>
      <c r="E112" s="10" t="s">
        <v>1388</v>
      </c>
      <c r="F112" s="4">
        <v>98463</v>
      </c>
      <c r="G112" s="1" t="s">
        <v>533</v>
      </c>
      <c r="H112" s="1" t="s">
        <v>132</v>
      </c>
      <c r="I112" s="1" t="s">
        <v>532</v>
      </c>
      <c r="J112" s="1" t="s">
        <v>131</v>
      </c>
      <c r="K112" s="1" t="s">
        <v>534</v>
      </c>
      <c r="L112" s="5">
        <v>44665</v>
      </c>
      <c r="M112" s="11" t="s">
        <v>1216</v>
      </c>
      <c r="N112" s="11" t="str">
        <f t="shared" si="1"/>
        <v>899614</v>
      </c>
      <c r="O112" s="14">
        <v>45658</v>
      </c>
      <c r="P112" s="14"/>
      <c r="Q112" s="14"/>
    </row>
    <row r="113" spans="1:17" ht="10.199999999999999" customHeight="1" x14ac:dyDescent="0.25">
      <c r="A113" s="4" t="s">
        <v>47</v>
      </c>
      <c r="B113" s="4" t="s">
        <v>52</v>
      </c>
      <c r="C113" s="10" t="str">
        <f>MID(Tabela1[[#This Row],[Tributacao]],1,16)</f>
        <v>Simples Nacional</v>
      </c>
      <c r="D113" s="10" t="s">
        <v>1278</v>
      </c>
      <c r="E113" s="10" t="s">
        <v>1389</v>
      </c>
      <c r="F113" s="4">
        <v>68716</v>
      </c>
      <c r="G113" s="1" t="s">
        <v>50</v>
      </c>
      <c r="H113" s="1" t="s">
        <v>51</v>
      </c>
      <c r="I113" s="1" t="s">
        <v>48</v>
      </c>
      <c r="J113" s="1" t="s">
        <v>49</v>
      </c>
      <c r="K113" s="1" t="s">
        <v>4</v>
      </c>
      <c r="L113" s="5">
        <v>38071</v>
      </c>
      <c r="M113" s="11" t="s">
        <v>1163</v>
      </c>
      <c r="N113" s="11" t="str">
        <f t="shared" si="1"/>
        <v>951059</v>
      </c>
      <c r="O113" s="14">
        <v>45658</v>
      </c>
      <c r="P113" s="14"/>
      <c r="Q113" s="14"/>
    </row>
    <row r="114" spans="1:17" ht="10.199999999999999" customHeight="1" x14ac:dyDescent="0.25">
      <c r="A114" s="4" t="s">
        <v>701</v>
      </c>
      <c r="B114" s="4" t="s">
        <v>705</v>
      </c>
      <c r="C114" s="10" t="str">
        <f>MID(Tabela1[[#This Row],[Tributacao]],1,16)</f>
        <v>Simples Nacional</v>
      </c>
      <c r="D114" s="10" t="s">
        <v>1278</v>
      </c>
      <c r="E114" s="10" t="s">
        <v>1395</v>
      </c>
      <c r="F114" s="4">
        <v>59197</v>
      </c>
      <c r="G114" s="1" t="s">
        <v>704</v>
      </c>
      <c r="H114" s="1" t="s">
        <v>132</v>
      </c>
      <c r="I114" s="1" t="s">
        <v>702</v>
      </c>
      <c r="J114" s="1" t="s">
        <v>703</v>
      </c>
      <c r="K114" s="1" t="s">
        <v>357</v>
      </c>
      <c r="L114" s="5">
        <v>45112</v>
      </c>
      <c r="M114" s="11" t="s">
        <v>1237</v>
      </c>
      <c r="N114" s="11" t="str">
        <f t="shared" si="1"/>
        <v>010575</v>
      </c>
      <c r="O114" s="14">
        <v>45658</v>
      </c>
      <c r="P114" s="14"/>
      <c r="Q114" s="14"/>
    </row>
    <row r="115" spans="1:17" ht="10.199999999999999" customHeight="1" x14ac:dyDescent="0.25">
      <c r="A115" s="4" t="s">
        <v>803</v>
      </c>
      <c r="B115" s="4" t="s">
        <v>74</v>
      </c>
      <c r="C115" s="10" t="str">
        <f>MID(Tabela1[[#This Row],[Tributacao]],1,16)</f>
        <v>Simples Nacional</v>
      </c>
      <c r="D115" s="10" t="s">
        <v>1278</v>
      </c>
      <c r="E115" s="10" t="s">
        <v>1403</v>
      </c>
      <c r="F115" s="4">
        <v>106243</v>
      </c>
      <c r="G115" s="1" t="s">
        <v>3</v>
      </c>
      <c r="H115" s="1" t="s">
        <v>91</v>
      </c>
      <c r="I115" s="1" t="s">
        <v>804</v>
      </c>
      <c r="J115" s="1" t="s">
        <v>805</v>
      </c>
      <c r="K115" s="1" t="s">
        <v>4</v>
      </c>
      <c r="L115" s="5">
        <v>45453</v>
      </c>
      <c r="M115" s="11" t="s">
        <v>1253</v>
      </c>
      <c r="N115" s="11" t="str">
        <f t="shared" si="1"/>
        <v>701996</v>
      </c>
      <c r="O115" s="14">
        <v>45658</v>
      </c>
      <c r="P115" s="14"/>
      <c r="Q115" s="14"/>
    </row>
    <row r="116" spans="1:17" ht="10.199999999999999" customHeight="1" x14ac:dyDescent="0.25">
      <c r="A116" s="4" t="s">
        <v>499</v>
      </c>
      <c r="B116" s="4" t="s">
        <v>503</v>
      </c>
      <c r="C116" s="10" t="str">
        <f>MID(Tabela1[[#This Row],[Tributacao]],1,16)</f>
        <v>Simples Nacional</v>
      </c>
      <c r="D116" s="10" t="s">
        <v>1278</v>
      </c>
      <c r="E116" s="10" t="s">
        <v>1404</v>
      </c>
      <c r="F116" s="4">
        <v>100406</v>
      </c>
      <c r="G116" s="1" t="s">
        <v>502</v>
      </c>
      <c r="H116" s="1" t="s">
        <v>65</v>
      </c>
      <c r="I116" s="1" t="s">
        <v>500</v>
      </c>
      <c r="J116" s="1" t="s">
        <v>501</v>
      </c>
      <c r="K116" s="1" t="s">
        <v>4</v>
      </c>
      <c r="L116" s="5">
        <v>44474</v>
      </c>
      <c r="M116" s="11" t="s">
        <v>1190</v>
      </c>
      <c r="N116" s="11" t="str">
        <f t="shared" si="1"/>
        <v>043166</v>
      </c>
      <c r="O116" s="14">
        <v>45658</v>
      </c>
      <c r="P116" s="14"/>
      <c r="Q116" s="14"/>
    </row>
    <row r="117" spans="1:17" ht="10.199999999999999" customHeight="1" x14ac:dyDescent="0.25">
      <c r="A117" s="4" t="s">
        <v>752</v>
      </c>
      <c r="B117" s="4" t="s">
        <v>756</v>
      </c>
      <c r="C117" s="10" t="str">
        <f>MID(Tabela1[[#This Row],[Tributacao]],1,16)</f>
        <v>Simples Nacional</v>
      </c>
      <c r="D117" s="10" t="s">
        <v>1278</v>
      </c>
      <c r="E117" s="10" t="s">
        <v>1410</v>
      </c>
      <c r="F117" s="4">
        <v>112331</v>
      </c>
      <c r="G117" s="1" t="s">
        <v>755</v>
      </c>
      <c r="H117" s="1" t="s">
        <v>479</v>
      </c>
      <c r="I117" s="1" t="s">
        <v>753</v>
      </c>
      <c r="J117" s="1" t="s">
        <v>754</v>
      </c>
      <c r="K117" s="1" t="s">
        <v>4</v>
      </c>
      <c r="L117" s="5">
        <v>45230</v>
      </c>
      <c r="M117" s="11" t="s">
        <v>1245</v>
      </c>
      <c r="N117" s="11" t="str">
        <f t="shared" si="1"/>
        <v>729488</v>
      </c>
      <c r="O117" s="14">
        <v>45658</v>
      </c>
      <c r="P117" s="14"/>
      <c r="Q117" s="14"/>
    </row>
    <row r="118" spans="1:17" ht="10.199999999999999" customHeight="1" x14ac:dyDescent="0.25">
      <c r="A118" s="4" t="s">
        <v>582</v>
      </c>
      <c r="B118" s="4" t="s">
        <v>587</v>
      </c>
      <c r="C118" s="10" t="str">
        <f>MID(Tabela1[[#This Row],[Tributacao]],1,16)</f>
        <v>Simples Nacional</v>
      </c>
      <c r="D118" s="10" t="s">
        <v>1278</v>
      </c>
      <c r="E118" s="10" t="s">
        <v>1411</v>
      </c>
      <c r="F118" s="4">
        <v>112062</v>
      </c>
      <c r="G118" s="1" t="s">
        <v>585</v>
      </c>
      <c r="H118" s="1" t="s">
        <v>586</v>
      </c>
      <c r="I118" s="1" t="s">
        <v>583</v>
      </c>
      <c r="J118" s="1" t="s">
        <v>584</v>
      </c>
      <c r="K118" s="1" t="s">
        <v>4</v>
      </c>
      <c r="L118" s="5">
        <v>45215</v>
      </c>
      <c r="M118" s="11" t="s">
        <v>1242</v>
      </c>
      <c r="N118" s="11" t="str">
        <f t="shared" si="1"/>
        <v>030837</v>
      </c>
      <c r="O118" s="14">
        <v>45658</v>
      </c>
      <c r="P118" s="14"/>
      <c r="Q118" s="14"/>
    </row>
    <row r="119" spans="1:17" ht="10.199999999999999" customHeight="1" x14ac:dyDescent="0.25">
      <c r="A119" s="4" t="s">
        <v>974</v>
      </c>
      <c r="B119" s="4" t="s">
        <v>978</v>
      </c>
      <c r="C119" s="10" t="str">
        <f>MID(Tabela1[[#This Row],[Tributacao]],1,16)</f>
        <v>Simples Nacional</v>
      </c>
      <c r="D119" s="10" t="s">
        <v>1278</v>
      </c>
      <c r="E119" s="10" t="s">
        <v>1417</v>
      </c>
      <c r="F119" s="4">
        <v>51534</v>
      </c>
      <c r="G119" s="1" t="s">
        <v>977</v>
      </c>
      <c r="H119" s="1" t="s">
        <v>80</v>
      </c>
      <c r="I119" s="1" t="s">
        <v>975</v>
      </c>
      <c r="J119" s="1" t="s">
        <v>976</v>
      </c>
      <c r="K119" s="1" t="s">
        <v>4</v>
      </c>
      <c r="L119" s="5">
        <v>36526</v>
      </c>
      <c r="M119" s="11" t="s">
        <v>1119</v>
      </c>
      <c r="N119" s="11" t="str">
        <f t="shared" si="1"/>
        <v>334734</v>
      </c>
      <c r="O119" s="14">
        <v>45658</v>
      </c>
      <c r="P119" s="14"/>
      <c r="Q119" s="14"/>
    </row>
    <row r="120" spans="1:17" ht="10.199999999999999" customHeight="1" x14ac:dyDescent="0.25">
      <c r="A120" s="4" t="s">
        <v>1100</v>
      </c>
      <c r="B120" s="4" t="s">
        <v>1104</v>
      </c>
      <c r="C120" s="10" t="str">
        <f>MID(Tabela1[[#This Row],[Tributacao]],1,16)</f>
        <v>Simples Nacional</v>
      </c>
      <c r="D120" s="10" t="s">
        <v>1278</v>
      </c>
      <c r="E120" s="10" t="s">
        <v>1418</v>
      </c>
      <c r="F120" s="4">
        <v>60583</v>
      </c>
      <c r="G120" s="1" t="s">
        <v>1102</v>
      </c>
      <c r="H120" s="1" t="s">
        <v>1103</v>
      </c>
      <c r="I120" s="1" t="s">
        <v>1062</v>
      </c>
      <c r="J120" s="1" t="s">
        <v>1101</v>
      </c>
      <c r="K120" s="1" t="s">
        <v>4</v>
      </c>
      <c r="L120" s="5">
        <v>36526</v>
      </c>
      <c r="M120" s="11" t="s">
        <v>1143</v>
      </c>
      <c r="N120" s="11" t="str">
        <f t="shared" si="1"/>
        <v>117756</v>
      </c>
      <c r="O120" s="14">
        <v>45658</v>
      </c>
      <c r="P120" s="14"/>
      <c r="Q120" s="14"/>
    </row>
    <row r="121" spans="1:17" ht="10.199999999999999" customHeight="1" x14ac:dyDescent="0.25">
      <c r="A121" s="4" t="s">
        <v>615</v>
      </c>
      <c r="B121" s="4" t="s">
        <v>619</v>
      </c>
      <c r="C121" s="10" t="str">
        <f>MID(Tabela1[[#This Row],[Tributacao]],1,16)</f>
        <v>Simples Nacional</v>
      </c>
      <c r="D121" s="10" t="s">
        <v>1278</v>
      </c>
      <c r="E121" s="10" t="s">
        <v>1421</v>
      </c>
      <c r="F121" s="4">
        <v>104415</v>
      </c>
      <c r="G121" s="1" t="s">
        <v>618</v>
      </c>
      <c r="H121" s="1" t="s">
        <v>65</v>
      </c>
      <c r="I121" s="1" t="s">
        <v>616</v>
      </c>
      <c r="J121" s="1" t="s">
        <v>617</v>
      </c>
      <c r="K121" s="1" t="s">
        <v>4</v>
      </c>
      <c r="L121" s="5">
        <v>44718</v>
      </c>
      <c r="M121" s="11" t="s">
        <v>1223</v>
      </c>
      <c r="N121" s="11" t="str">
        <f t="shared" si="1"/>
        <v>035585</v>
      </c>
      <c r="O121" s="14">
        <v>45658</v>
      </c>
      <c r="P121" s="14"/>
      <c r="Q121" s="14"/>
    </row>
    <row r="122" spans="1:17" ht="10.199999999999999" customHeight="1" x14ac:dyDescent="0.25">
      <c r="A122" s="4" t="s">
        <v>965</v>
      </c>
      <c r="B122" s="4" t="s">
        <v>968</v>
      </c>
      <c r="C122" s="10" t="str">
        <f>MID(Tabela1[[#This Row],[Tributacao]],1,16)</f>
        <v>Simples Nacional</v>
      </c>
      <c r="D122" s="10" t="s">
        <v>1278</v>
      </c>
      <c r="E122" s="10" t="s">
        <v>1422</v>
      </c>
      <c r="F122" s="4">
        <v>18543</v>
      </c>
      <c r="G122" s="1" t="s">
        <v>967</v>
      </c>
      <c r="H122" s="1" t="s">
        <v>73</v>
      </c>
      <c r="I122" s="1" t="s">
        <v>966</v>
      </c>
      <c r="J122" s="1" t="s">
        <v>100</v>
      </c>
      <c r="K122" s="1" t="s">
        <v>4</v>
      </c>
      <c r="L122" s="5">
        <v>30546</v>
      </c>
      <c r="M122" s="11" t="s">
        <v>1117</v>
      </c>
      <c r="N122" s="11" t="str">
        <f t="shared" si="1"/>
        <v>875831</v>
      </c>
      <c r="O122" s="14">
        <v>45658</v>
      </c>
      <c r="P122" s="14"/>
      <c r="Q122" s="14"/>
    </row>
    <row r="123" spans="1:17" ht="10.199999999999999" customHeight="1" x14ac:dyDescent="0.25">
      <c r="A123" s="4" t="s">
        <v>420</v>
      </c>
      <c r="B123" s="4" t="s">
        <v>423</v>
      </c>
      <c r="C123" s="10" t="str">
        <f>MID(Tabela1[[#This Row],[Tributacao]],1,16)</f>
        <v>Simples Nacional</v>
      </c>
      <c r="D123" s="10" t="s">
        <v>1280</v>
      </c>
      <c r="E123" s="10" t="s">
        <v>1322</v>
      </c>
      <c r="F123" s="4">
        <v>87826</v>
      </c>
      <c r="G123" s="1" t="s">
        <v>3</v>
      </c>
      <c r="H123" s="1" t="s">
        <v>419</v>
      </c>
      <c r="I123" s="1" t="s">
        <v>421</v>
      </c>
      <c r="J123" s="1" t="s">
        <v>422</v>
      </c>
      <c r="K123" s="1" t="s">
        <v>4</v>
      </c>
      <c r="L123" s="5">
        <v>43745</v>
      </c>
      <c r="M123" s="11">
        <v>2393787330</v>
      </c>
      <c r="N123" s="11" t="str">
        <f t="shared" si="1"/>
        <v>239378</v>
      </c>
      <c r="O123" s="14">
        <v>45658</v>
      </c>
      <c r="P123" s="14"/>
      <c r="Q123" s="14"/>
    </row>
    <row r="124" spans="1:17" ht="10.199999999999999" customHeight="1" x14ac:dyDescent="0.25">
      <c r="A124" s="4" t="s">
        <v>895</v>
      </c>
      <c r="B124" s="4" t="s">
        <v>898</v>
      </c>
      <c r="C124" s="10" t="str">
        <f>MID(Tabela1[[#This Row],[Tributacao]],1,16)</f>
        <v>Simples Nacional</v>
      </c>
      <c r="D124" s="10" t="s">
        <v>1280</v>
      </c>
      <c r="E124" s="10" t="s">
        <v>1323</v>
      </c>
      <c r="F124" s="4">
        <v>111942</v>
      </c>
      <c r="G124" s="1" t="s">
        <v>3</v>
      </c>
      <c r="H124" s="1" t="s">
        <v>788</v>
      </c>
      <c r="I124" s="1" t="s">
        <v>896</v>
      </c>
      <c r="J124" s="1" t="s">
        <v>897</v>
      </c>
      <c r="K124" s="1" t="s">
        <v>4</v>
      </c>
      <c r="L124" s="5">
        <v>45658</v>
      </c>
      <c r="M124" s="11" t="s">
        <v>1267</v>
      </c>
      <c r="N124" s="11" t="str">
        <f t="shared" si="1"/>
        <v>732279</v>
      </c>
      <c r="O124" s="14">
        <f>L124</f>
        <v>45658</v>
      </c>
      <c r="P124" s="14"/>
      <c r="Q124" s="14"/>
    </row>
    <row r="125" spans="1:17" ht="10.199999999999999" customHeight="1" x14ac:dyDescent="0.25">
      <c r="A125" s="4" t="s">
        <v>16</v>
      </c>
      <c r="B125" s="4" t="s">
        <v>21</v>
      </c>
      <c r="C125" s="10" t="str">
        <f>MID(Tabela1[[#This Row],[Tributacao]],1,16)</f>
        <v>Simples Nacional</v>
      </c>
      <c r="D125" s="10" t="s">
        <v>1280</v>
      </c>
      <c r="E125" s="10" t="s">
        <v>1341</v>
      </c>
      <c r="F125" s="4">
        <v>63616</v>
      </c>
      <c r="G125" s="1" t="s">
        <v>19</v>
      </c>
      <c r="H125" s="1" t="s">
        <v>20</v>
      </c>
      <c r="I125" s="1" t="s">
        <v>17</v>
      </c>
      <c r="J125" s="1" t="s">
        <v>18</v>
      </c>
      <c r="K125" s="1" t="s">
        <v>4</v>
      </c>
      <c r="L125" s="5">
        <v>40618</v>
      </c>
      <c r="M125" s="11" t="s">
        <v>1207</v>
      </c>
      <c r="N125" s="11" t="str">
        <f t="shared" si="1"/>
        <v>907076</v>
      </c>
      <c r="O125" s="14">
        <v>45658</v>
      </c>
      <c r="P125" s="14"/>
      <c r="Q125" s="14"/>
    </row>
    <row r="126" spans="1:17" ht="10.199999999999999" customHeight="1" x14ac:dyDescent="0.25">
      <c r="A126" s="4" t="s">
        <v>766</v>
      </c>
      <c r="B126" s="4" t="s">
        <v>771</v>
      </c>
      <c r="C126" s="10" t="str">
        <f>MID(Tabela1[[#This Row],[Tributacao]],1,16)</f>
        <v>Simples Nacional</v>
      </c>
      <c r="D126" s="10" t="s">
        <v>1280</v>
      </c>
      <c r="E126" s="10" t="s">
        <v>1345</v>
      </c>
      <c r="F126" s="4">
        <v>81225</v>
      </c>
      <c r="G126" s="1" t="s">
        <v>769</v>
      </c>
      <c r="H126" s="1" t="s">
        <v>770</v>
      </c>
      <c r="I126" s="1" t="s">
        <v>767</v>
      </c>
      <c r="J126" s="1" t="s">
        <v>768</v>
      </c>
      <c r="K126" s="1" t="s">
        <v>4</v>
      </c>
      <c r="L126" s="5">
        <v>42587</v>
      </c>
      <c r="M126" s="11" t="s">
        <v>1247</v>
      </c>
      <c r="N126" s="11" t="str">
        <f t="shared" si="1"/>
        <v>702794</v>
      </c>
      <c r="O126" s="14">
        <v>45658</v>
      </c>
      <c r="P126" s="14"/>
      <c r="Q126" s="14"/>
    </row>
    <row r="127" spans="1:17" ht="10.199999999999999" customHeight="1" x14ac:dyDescent="0.25">
      <c r="A127" s="4" t="s">
        <v>662</v>
      </c>
      <c r="B127" s="4" t="s">
        <v>667</v>
      </c>
      <c r="C127" s="10" t="str">
        <f>MID(Tabela1[[#This Row],[Tributacao]],1,16)</f>
        <v>Simples Nacional</v>
      </c>
      <c r="D127" s="10" t="s">
        <v>1280</v>
      </c>
      <c r="E127" s="10" t="s">
        <v>1357</v>
      </c>
      <c r="F127" s="4">
        <v>109399</v>
      </c>
      <c r="G127" s="1" t="s">
        <v>665</v>
      </c>
      <c r="H127" s="1" t="s">
        <v>666</v>
      </c>
      <c r="I127" s="1" t="s">
        <v>663</v>
      </c>
      <c r="J127" s="1" t="s">
        <v>664</v>
      </c>
      <c r="K127" s="1" t="s">
        <v>4</v>
      </c>
      <c r="L127" s="5">
        <v>45029</v>
      </c>
      <c r="M127" s="11" t="s">
        <v>1230</v>
      </c>
      <c r="N127" s="11" t="str">
        <f t="shared" si="1"/>
        <v>027486</v>
      </c>
      <c r="O127" s="14">
        <v>45658</v>
      </c>
      <c r="P127" s="14"/>
      <c r="Q127" s="14"/>
    </row>
    <row r="128" spans="1:17" ht="10.199999999999999" customHeight="1" x14ac:dyDescent="0.25">
      <c r="A128" s="4" t="s">
        <v>140</v>
      </c>
      <c r="B128" s="4" t="s">
        <v>143</v>
      </c>
      <c r="C128" s="10" t="str">
        <f>MID(Tabela1[[#This Row],[Tributacao]],1,16)</f>
        <v>Simples Nacional</v>
      </c>
      <c r="D128" s="10" t="s">
        <v>1280</v>
      </c>
      <c r="E128" s="10" t="s">
        <v>1360</v>
      </c>
      <c r="F128" s="4">
        <v>62996</v>
      </c>
      <c r="G128" s="1" t="s">
        <v>3</v>
      </c>
      <c r="H128" s="1" t="s">
        <v>119</v>
      </c>
      <c r="I128" s="1" t="s">
        <v>141</v>
      </c>
      <c r="J128" s="1" t="s">
        <v>142</v>
      </c>
      <c r="K128" s="1" t="s">
        <v>4</v>
      </c>
      <c r="L128" s="5">
        <v>40567</v>
      </c>
      <c r="M128" s="11" t="s">
        <v>1249</v>
      </c>
      <c r="N128" s="11" t="str">
        <f t="shared" si="1"/>
        <v>889924</v>
      </c>
      <c r="O128" s="14">
        <v>45658</v>
      </c>
      <c r="P128" s="14"/>
      <c r="Q128" s="14"/>
    </row>
    <row r="129" spans="1:17" ht="10.199999999999999" customHeight="1" x14ac:dyDescent="0.25">
      <c r="A129" s="4" t="s">
        <v>149</v>
      </c>
      <c r="B129" s="4" t="s">
        <v>154</v>
      </c>
      <c r="C129" s="10" t="str">
        <f>MID(Tabela1[[#This Row],[Tributacao]],1,16)</f>
        <v>Simples Nacional</v>
      </c>
      <c r="D129" s="10" t="s">
        <v>1280</v>
      </c>
      <c r="E129" s="10" t="s">
        <v>1379</v>
      </c>
      <c r="F129" s="4">
        <v>70476</v>
      </c>
      <c r="G129" s="1" t="s">
        <v>152</v>
      </c>
      <c r="H129" s="1" t="s">
        <v>153</v>
      </c>
      <c r="I129" s="1" t="s">
        <v>150</v>
      </c>
      <c r="J129" s="1" t="s">
        <v>151</v>
      </c>
      <c r="K129" s="1" t="s">
        <v>4</v>
      </c>
      <c r="L129" s="5">
        <v>41464</v>
      </c>
      <c r="M129" s="11" t="s">
        <v>1157</v>
      </c>
      <c r="N129" s="11" t="str">
        <f t="shared" si="1"/>
        <v>370750</v>
      </c>
      <c r="O129" s="14">
        <v>45658</v>
      </c>
      <c r="P129" s="14"/>
      <c r="Q129" s="14"/>
    </row>
    <row r="130" spans="1:17" ht="10.199999999999999" customHeight="1" x14ac:dyDescent="0.25">
      <c r="A130" s="4" t="s">
        <v>280</v>
      </c>
      <c r="B130" s="4" t="s">
        <v>285</v>
      </c>
      <c r="C130" s="10" t="str">
        <f>MID(Tabela1[[#This Row],[Tributacao]],1,16)</f>
        <v>Simples Nacional</v>
      </c>
      <c r="D130" s="10" t="s">
        <v>1280</v>
      </c>
      <c r="E130" s="10" t="s">
        <v>1384</v>
      </c>
      <c r="F130" s="4">
        <v>80258</v>
      </c>
      <c r="G130" s="1" t="s">
        <v>283</v>
      </c>
      <c r="H130" s="1" t="s">
        <v>284</v>
      </c>
      <c r="I130" s="1" t="s">
        <v>281</v>
      </c>
      <c r="J130" s="1" t="s">
        <v>282</v>
      </c>
      <c r="K130" s="1" t="s">
        <v>4</v>
      </c>
      <c r="L130" s="5">
        <v>42548</v>
      </c>
      <c r="M130" s="11" t="s">
        <v>1257</v>
      </c>
      <c r="N130" s="11" t="str">
        <f t="shared" si="1"/>
        <v>108767</v>
      </c>
      <c r="O130" s="14">
        <v>45658</v>
      </c>
      <c r="P130" s="14"/>
      <c r="Q130" s="14"/>
    </row>
    <row r="131" spans="1:17" ht="10.199999999999999" customHeight="1" x14ac:dyDescent="0.25">
      <c r="A131" s="4" t="s">
        <v>952</v>
      </c>
      <c r="B131" s="4" t="s">
        <v>956</v>
      </c>
      <c r="C131" s="10" t="str">
        <f>MID(Tabela1[[#This Row],[Tributacao]],1,16)</f>
        <v>Simples Nacional</v>
      </c>
      <c r="D131" s="10" t="s">
        <v>1280</v>
      </c>
      <c r="E131" s="10" t="s">
        <v>1386</v>
      </c>
      <c r="F131" s="4">
        <v>42989</v>
      </c>
      <c r="G131" s="1" t="s">
        <v>955</v>
      </c>
      <c r="H131" s="1" t="s">
        <v>837</v>
      </c>
      <c r="I131" s="1" t="s">
        <v>953</v>
      </c>
      <c r="J131" s="1" t="s">
        <v>954</v>
      </c>
      <c r="K131" s="1" t="s">
        <v>4</v>
      </c>
      <c r="L131" s="5">
        <v>35998</v>
      </c>
      <c r="M131" s="11" t="s">
        <v>1115</v>
      </c>
      <c r="N131" s="11" t="str">
        <f t="shared" ref="N131:N194" si="2">MID(M131,1,6)</f>
        <v>071756</v>
      </c>
      <c r="O131" s="14">
        <v>45658</v>
      </c>
      <c r="P131" s="14"/>
      <c r="Q131" s="14"/>
    </row>
    <row r="132" spans="1:17" ht="10.199999999999999" customHeight="1" x14ac:dyDescent="0.25">
      <c r="A132" s="4" t="s">
        <v>307</v>
      </c>
      <c r="B132" s="4" t="s">
        <v>310</v>
      </c>
      <c r="C132" s="10" t="str">
        <f>MID(Tabela1[[#This Row],[Tributacao]],1,16)</f>
        <v>Simples Nacional</v>
      </c>
      <c r="D132" s="10" t="s">
        <v>1280</v>
      </c>
      <c r="E132" s="10" t="s">
        <v>1391</v>
      </c>
      <c r="F132" s="4">
        <v>74229</v>
      </c>
      <c r="G132" s="1" t="s">
        <v>308</v>
      </c>
      <c r="H132" s="1" t="s">
        <v>309</v>
      </c>
      <c r="I132" s="1" t="s">
        <v>271</v>
      </c>
      <c r="J132" s="1" t="s">
        <v>272</v>
      </c>
      <c r="K132" s="1" t="s">
        <v>4</v>
      </c>
      <c r="L132" s="5">
        <v>41640</v>
      </c>
      <c r="M132" s="11" t="s">
        <v>1179</v>
      </c>
      <c r="N132" s="11" t="str">
        <f t="shared" si="2"/>
        <v>029698</v>
      </c>
      <c r="O132" s="14">
        <v>45658</v>
      </c>
      <c r="P132" s="14"/>
      <c r="Q132" s="14"/>
    </row>
    <row r="133" spans="1:17" ht="10.199999999999999" customHeight="1" x14ac:dyDescent="0.25">
      <c r="A133" s="4" t="s">
        <v>253</v>
      </c>
      <c r="B133" s="4" t="s">
        <v>258</v>
      </c>
      <c r="C133" s="10" t="str">
        <f>MID(Tabela1[[#This Row],[Tributacao]],1,16)</f>
        <v>Simples Nacional</v>
      </c>
      <c r="D133" s="10" t="s">
        <v>1280</v>
      </c>
      <c r="E133" s="10" t="s">
        <v>1394</v>
      </c>
      <c r="F133" s="4">
        <v>78350</v>
      </c>
      <c r="G133" s="1" t="s">
        <v>256</v>
      </c>
      <c r="H133" s="1" t="s">
        <v>257</v>
      </c>
      <c r="I133" s="1" t="s">
        <v>254</v>
      </c>
      <c r="J133" s="1" t="s">
        <v>255</v>
      </c>
      <c r="K133" s="1" t="s">
        <v>4</v>
      </c>
      <c r="L133" s="5">
        <v>42311</v>
      </c>
      <c r="M133" s="11" t="s">
        <v>1156</v>
      </c>
      <c r="N133" s="11" t="str">
        <f t="shared" si="2"/>
        <v>846189</v>
      </c>
      <c r="O133" s="14">
        <v>45658</v>
      </c>
      <c r="P133" s="14"/>
      <c r="Q133" s="14"/>
    </row>
    <row r="134" spans="1:17" ht="10.199999999999999" customHeight="1" x14ac:dyDescent="0.25">
      <c r="A134" s="4" t="s">
        <v>940</v>
      </c>
      <c r="B134" s="4" t="s">
        <v>943</v>
      </c>
      <c r="C134" s="10" t="str">
        <f>MID(Tabela1[[#This Row],[Tributacao]],1,16)</f>
        <v>Simples Nacional</v>
      </c>
      <c r="D134" s="10" t="s">
        <v>1280</v>
      </c>
      <c r="E134" s="10" t="s">
        <v>941</v>
      </c>
      <c r="F134" s="4">
        <v>7393261</v>
      </c>
      <c r="G134" s="1" t="s">
        <v>3</v>
      </c>
      <c r="H134" s="1" t="s">
        <v>257</v>
      </c>
      <c r="I134" s="1" t="s">
        <v>254</v>
      </c>
      <c r="J134" s="1" t="s">
        <v>942</v>
      </c>
      <c r="K134" s="1" t="s">
        <v>29</v>
      </c>
      <c r="L134" s="5">
        <v>45957</v>
      </c>
      <c r="M134" s="11" t="s">
        <v>1156</v>
      </c>
      <c r="N134" s="11" t="str">
        <f t="shared" si="2"/>
        <v>846189</v>
      </c>
      <c r="O134" s="14">
        <f>L134</f>
        <v>45957</v>
      </c>
      <c r="P134" s="14"/>
      <c r="Q134" s="14"/>
    </row>
    <row r="135" spans="1:17" ht="10.199999999999999" customHeight="1" x14ac:dyDescent="0.25">
      <c r="A135" s="4" t="s">
        <v>999</v>
      </c>
      <c r="B135" s="4" t="s">
        <v>199</v>
      </c>
      <c r="C135" s="10" t="str">
        <f>MID(Tabela1[[#This Row],[Tributacao]],1,16)</f>
        <v>Simples Nacional</v>
      </c>
      <c r="D135" s="10" t="s">
        <v>1280</v>
      </c>
      <c r="E135" s="10" t="s">
        <v>1407</v>
      </c>
      <c r="F135" s="4">
        <v>80549</v>
      </c>
      <c r="G135" s="1" t="s">
        <v>1000</v>
      </c>
      <c r="H135" s="1" t="s">
        <v>198</v>
      </c>
      <c r="I135" s="1" t="s">
        <v>195</v>
      </c>
      <c r="J135" s="1" t="s">
        <v>196</v>
      </c>
      <c r="K135" s="1" t="s">
        <v>4</v>
      </c>
      <c r="L135" s="5">
        <v>38405</v>
      </c>
      <c r="M135" s="11" t="s">
        <v>1123</v>
      </c>
      <c r="N135" s="11" t="str">
        <f t="shared" si="2"/>
        <v>302404</v>
      </c>
      <c r="O135" s="14">
        <v>45658</v>
      </c>
      <c r="P135" s="14"/>
      <c r="Q135" s="14"/>
    </row>
    <row r="136" spans="1:17" ht="10.199999999999999" customHeight="1" x14ac:dyDescent="0.25">
      <c r="A136" s="4" t="s">
        <v>441</v>
      </c>
      <c r="B136" s="4" t="s">
        <v>445</v>
      </c>
      <c r="C136" s="10" t="str">
        <f>MID(Tabela1[[#This Row],[Tributacao]],1,16)</f>
        <v>Simples Nacional</v>
      </c>
      <c r="D136" s="10" t="s">
        <v>1280</v>
      </c>
      <c r="E136" s="10" t="s">
        <v>1414</v>
      </c>
      <c r="F136" s="4">
        <v>93115</v>
      </c>
      <c r="G136" s="1" t="s">
        <v>3</v>
      </c>
      <c r="H136" s="1" t="s">
        <v>444</v>
      </c>
      <c r="I136" s="1" t="s">
        <v>442</v>
      </c>
      <c r="J136" s="1" t="s">
        <v>443</v>
      </c>
      <c r="K136" s="1" t="s">
        <v>4</v>
      </c>
      <c r="L136" s="5">
        <v>43899</v>
      </c>
      <c r="M136" s="11" t="s">
        <v>1205</v>
      </c>
      <c r="N136" s="11" t="str">
        <f t="shared" si="2"/>
        <v>648809</v>
      </c>
      <c r="O136" s="14">
        <v>45658</v>
      </c>
      <c r="P136" s="14"/>
      <c r="Q136" s="14"/>
    </row>
    <row r="137" spans="1:17" ht="10.199999999999999" customHeight="1" x14ac:dyDescent="0.25">
      <c r="A137" s="4" t="s">
        <v>910</v>
      </c>
      <c r="B137" s="4" t="s">
        <v>913</v>
      </c>
      <c r="C137" s="10" t="str">
        <f>MID(Tabela1[[#This Row],[Tributacao]],1,16)</f>
        <v>Simples Nacional</v>
      </c>
      <c r="D137" s="10" t="s">
        <v>1280</v>
      </c>
      <c r="E137" s="10" t="s">
        <v>1415</v>
      </c>
      <c r="F137" s="4">
        <v>126537</v>
      </c>
      <c r="G137" s="1" t="s">
        <v>3</v>
      </c>
      <c r="H137" s="1" t="s">
        <v>837</v>
      </c>
      <c r="I137" s="1" t="s">
        <v>911</v>
      </c>
      <c r="J137" s="1" t="s">
        <v>912</v>
      </c>
      <c r="K137" s="1" t="s">
        <v>4</v>
      </c>
      <c r="L137" s="5">
        <v>45841</v>
      </c>
      <c r="M137" s="11" t="s">
        <v>1126</v>
      </c>
      <c r="N137" s="11" t="str">
        <f t="shared" si="2"/>
        <v>000706</v>
      </c>
      <c r="O137" s="14">
        <f>L137</f>
        <v>45841</v>
      </c>
      <c r="P137" s="14"/>
      <c r="Q137" s="14"/>
    </row>
    <row r="138" spans="1:17" ht="10.199999999999999" customHeight="1" x14ac:dyDescent="0.25">
      <c r="A138" s="4" t="s">
        <v>1084</v>
      </c>
      <c r="B138" s="4" t="s">
        <v>1088</v>
      </c>
      <c r="C138" s="10" t="str">
        <f>MID(Tabela1[[#This Row],[Tributacao]],1,16)</f>
        <v>Simples Nacional</v>
      </c>
      <c r="D138" s="10" t="s">
        <v>1280</v>
      </c>
      <c r="E138" s="10" t="s">
        <v>1419</v>
      </c>
      <c r="F138" s="4">
        <v>58821</v>
      </c>
      <c r="G138" s="1" t="s">
        <v>1087</v>
      </c>
      <c r="H138" s="1" t="s">
        <v>119</v>
      </c>
      <c r="I138" s="1" t="s">
        <v>1085</v>
      </c>
      <c r="J138" s="1" t="s">
        <v>1086</v>
      </c>
      <c r="K138" s="1" t="s">
        <v>4</v>
      </c>
      <c r="L138" s="5">
        <v>39759</v>
      </c>
      <c r="M138" s="11" t="s">
        <v>1141</v>
      </c>
      <c r="N138" s="11" t="str">
        <f t="shared" si="2"/>
        <v>772865</v>
      </c>
      <c r="O138" s="14">
        <v>45658</v>
      </c>
      <c r="P138" s="14"/>
      <c r="Q138" s="14"/>
    </row>
    <row r="139" spans="1:17" ht="10.199999999999999" customHeight="1" x14ac:dyDescent="0.25">
      <c r="A139" s="4" t="s">
        <v>483</v>
      </c>
      <c r="B139" s="4" t="s">
        <v>486</v>
      </c>
      <c r="C139" s="10" t="str">
        <f>MID(Tabela1[[#This Row],[Tributacao]],1,16)</f>
        <v>Simples Nacional</v>
      </c>
      <c r="D139" s="10" t="s">
        <v>1280</v>
      </c>
      <c r="E139" s="10" t="s">
        <v>1420</v>
      </c>
      <c r="F139" s="4">
        <v>86084</v>
      </c>
      <c r="G139" s="1" t="s">
        <v>485</v>
      </c>
      <c r="H139" s="1" t="s">
        <v>183</v>
      </c>
      <c r="I139" s="1" t="s">
        <v>232</v>
      </c>
      <c r="J139" s="1" t="s">
        <v>484</v>
      </c>
      <c r="K139" s="1" t="s">
        <v>4</v>
      </c>
      <c r="L139" s="5">
        <v>44250</v>
      </c>
      <c r="M139" s="11" t="s">
        <v>1183</v>
      </c>
      <c r="N139" s="11" t="str">
        <f t="shared" si="2"/>
        <v>005009</v>
      </c>
      <c r="O139" s="14">
        <v>45658</v>
      </c>
      <c r="P139" s="14"/>
      <c r="Q139" s="14"/>
    </row>
    <row r="140" spans="1:17" ht="10.199999999999999" customHeight="1" x14ac:dyDescent="0.25">
      <c r="A140" s="4" t="s">
        <v>556</v>
      </c>
      <c r="B140" s="4" t="s">
        <v>560</v>
      </c>
      <c r="C140" s="10" t="str">
        <f>MID(Tabela1[[#This Row],[Tributacao]],1,16)</f>
        <v>Simples Nacional</v>
      </c>
      <c r="D140" s="10" t="s">
        <v>1282</v>
      </c>
      <c r="E140" s="10">
        <v>0</v>
      </c>
      <c r="F140" s="4">
        <v>103416</v>
      </c>
      <c r="G140" s="1" t="s">
        <v>559</v>
      </c>
      <c r="H140" s="1" t="s">
        <v>516</v>
      </c>
      <c r="I140" s="1" t="s">
        <v>557</v>
      </c>
      <c r="J140" s="15" t="s">
        <v>558</v>
      </c>
      <c r="K140" s="1" t="s">
        <v>4</v>
      </c>
      <c r="L140" s="5">
        <v>44677</v>
      </c>
      <c r="M140" s="11" t="s">
        <v>1217</v>
      </c>
      <c r="N140" s="11" t="str">
        <f t="shared" si="2"/>
        <v>872982</v>
      </c>
      <c r="O140" s="14">
        <v>45658</v>
      </c>
      <c r="P140" s="14"/>
      <c r="Q140" s="14"/>
    </row>
    <row r="141" spans="1:17" ht="10.199999999999999" customHeight="1" x14ac:dyDescent="0.25">
      <c r="A141" s="4" t="s">
        <v>260</v>
      </c>
      <c r="B141" s="4" t="s">
        <v>264</v>
      </c>
      <c r="C141" s="10" t="str">
        <f>MID(Tabela1[[#This Row],[Tributacao]],1,16)</f>
        <v>Simples Nacional</v>
      </c>
      <c r="D141" s="10" t="s">
        <v>1282</v>
      </c>
      <c r="E141" s="10" t="s">
        <v>1300</v>
      </c>
      <c r="F141" s="4">
        <v>4200039</v>
      </c>
      <c r="G141" s="1" t="s">
        <v>263</v>
      </c>
      <c r="H141" s="1" t="s">
        <v>118</v>
      </c>
      <c r="I141" s="1" t="s">
        <v>261</v>
      </c>
      <c r="J141" s="1" t="s">
        <v>262</v>
      </c>
      <c r="K141" s="1" t="s">
        <v>4</v>
      </c>
      <c r="L141" s="5">
        <v>42451</v>
      </c>
      <c r="M141" s="11" t="s">
        <v>1178</v>
      </c>
      <c r="N141" s="11" t="str">
        <f t="shared" si="2"/>
        <v>874997</v>
      </c>
      <c r="O141" s="14">
        <v>45658</v>
      </c>
      <c r="P141" s="14"/>
      <c r="Q141" s="14"/>
    </row>
    <row r="142" spans="1:17" ht="10.199999999999999" customHeight="1" x14ac:dyDescent="0.25">
      <c r="A142" s="4" t="s">
        <v>504</v>
      </c>
      <c r="B142" s="4" t="s">
        <v>509</v>
      </c>
      <c r="C142" s="10" t="str">
        <f>MID(Tabela1[[#This Row],[Tributacao]],1,16)</f>
        <v>Simples Nacional</v>
      </c>
      <c r="D142" s="10" t="s">
        <v>1282</v>
      </c>
      <c r="E142" s="10" t="s">
        <v>1301</v>
      </c>
      <c r="F142" s="4">
        <v>91824</v>
      </c>
      <c r="G142" s="1" t="s">
        <v>507</v>
      </c>
      <c r="H142" s="1" t="s">
        <v>508</v>
      </c>
      <c r="I142" s="1" t="s">
        <v>505</v>
      </c>
      <c r="J142" s="1" t="s">
        <v>506</v>
      </c>
      <c r="K142" s="1" t="s">
        <v>4</v>
      </c>
      <c r="L142" s="5">
        <v>44472</v>
      </c>
      <c r="M142" s="11" t="s">
        <v>1211</v>
      </c>
      <c r="N142" s="11" t="str">
        <f t="shared" si="2"/>
        <v>702322</v>
      </c>
      <c r="O142" s="14">
        <v>45658</v>
      </c>
      <c r="P142" s="14"/>
      <c r="Q142" s="14"/>
    </row>
    <row r="143" spans="1:17" ht="10.199999999999999" customHeight="1" x14ac:dyDescent="0.25">
      <c r="A143" s="4" t="s">
        <v>328</v>
      </c>
      <c r="B143" s="4" t="s">
        <v>332</v>
      </c>
      <c r="C143" s="10" t="str">
        <f>MID(Tabela1[[#This Row],[Tributacao]],1,16)</f>
        <v>Simples Nacional</v>
      </c>
      <c r="D143" s="10" t="s">
        <v>1282</v>
      </c>
      <c r="E143" s="10">
        <v>0</v>
      </c>
      <c r="F143" s="4">
        <v>8550882</v>
      </c>
      <c r="G143" s="1" t="s">
        <v>3</v>
      </c>
      <c r="H143" s="1" t="s">
        <v>331</v>
      </c>
      <c r="I143" s="1" t="s">
        <v>329</v>
      </c>
      <c r="J143" s="1" t="s">
        <v>330</v>
      </c>
      <c r="K143" s="1" t="s">
        <v>4</v>
      </c>
      <c r="L143" s="5">
        <v>41565</v>
      </c>
      <c r="M143" s="11" t="s">
        <v>1187</v>
      </c>
      <c r="N143" s="11" t="str">
        <f t="shared" si="2"/>
        <v>382787</v>
      </c>
      <c r="O143" s="14">
        <v>45658</v>
      </c>
      <c r="P143" s="14"/>
      <c r="Q143" s="14"/>
    </row>
    <row r="144" spans="1:17" ht="10.199999999999999" customHeight="1" x14ac:dyDescent="0.25">
      <c r="A144" s="4" t="s">
        <v>789</v>
      </c>
      <c r="B144" s="4" t="s">
        <v>792</v>
      </c>
      <c r="C144" s="10" t="str">
        <f>MID(Tabela1[[#This Row],[Tributacao]],1,16)</f>
        <v>Simples Nacional</v>
      </c>
      <c r="D144" s="10" t="s">
        <v>1282</v>
      </c>
      <c r="E144" s="10">
        <v>0</v>
      </c>
      <c r="F144" s="4">
        <v>113834</v>
      </c>
      <c r="G144" s="1" t="s">
        <v>790</v>
      </c>
      <c r="H144" s="1" t="s">
        <v>791</v>
      </c>
      <c r="I144" s="1" t="s">
        <v>767</v>
      </c>
      <c r="J144" s="1" t="s">
        <v>3</v>
      </c>
      <c r="K144" s="1" t="s">
        <v>4</v>
      </c>
      <c r="L144" s="5">
        <v>45351</v>
      </c>
      <c r="M144" s="11" t="s">
        <v>1247</v>
      </c>
      <c r="N144" s="11" t="str">
        <f t="shared" si="2"/>
        <v>702794</v>
      </c>
      <c r="O144" s="14">
        <v>45658</v>
      </c>
      <c r="P144" s="14"/>
      <c r="Q144" s="14"/>
    </row>
    <row r="145" spans="1:17" ht="10.199999999999999" customHeight="1" x14ac:dyDescent="0.25">
      <c r="A145" s="4" t="s">
        <v>222</v>
      </c>
      <c r="B145" s="4" t="s">
        <v>226</v>
      </c>
      <c r="C145" s="10" t="str">
        <f>MID(Tabela1[[#This Row],[Tributacao]],1,16)</f>
        <v>Simples Nacional</v>
      </c>
      <c r="D145" s="10" t="s">
        <v>1282</v>
      </c>
      <c r="E145" s="10">
        <v>0</v>
      </c>
      <c r="F145" s="4">
        <v>4033167</v>
      </c>
      <c r="G145" s="1" t="s">
        <v>225</v>
      </c>
      <c r="H145" s="1" t="s">
        <v>126</v>
      </c>
      <c r="I145" s="1" t="s">
        <v>223</v>
      </c>
      <c r="J145" s="1" t="s">
        <v>224</v>
      </c>
      <c r="K145" s="1" t="s">
        <v>29</v>
      </c>
      <c r="L145" s="5">
        <v>42144</v>
      </c>
      <c r="M145" s="11" t="s">
        <v>300</v>
      </c>
      <c r="N145" s="11" t="str">
        <f t="shared" si="2"/>
        <v>038881</v>
      </c>
      <c r="O145" s="14">
        <v>45658</v>
      </c>
      <c r="P145" s="14"/>
      <c r="Q145" s="14"/>
    </row>
    <row r="146" spans="1:17" ht="10.199999999999999" customHeight="1" x14ac:dyDescent="0.25">
      <c r="A146" s="4" t="s">
        <v>454</v>
      </c>
      <c r="B146" s="4" t="s">
        <v>456</v>
      </c>
      <c r="C146" s="10" t="str">
        <f>MID(Tabela1[[#This Row],[Tributacao]],1,16)</f>
        <v>Simples Nacional</v>
      </c>
      <c r="D146" s="10" t="s">
        <v>1282</v>
      </c>
      <c r="E146" s="10">
        <v>0</v>
      </c>
      <c r="F146" s="4">
        <v>94231</v>
      </c>
      <c r="G146" s="1" t="s">
        <v>3</v>
      </c>
      <c r="H146" s="1" t="s">
        <v>455</v>
      </c>
      <c r="I146" s="1" t="s">
        <v>84</v>
      </c>
      <c r="J146" s="1" t="s">
        <v>85</v>
      </c>
      <c r="K146" s="1" t="s">
        <v>4</v>
      </c>
      <c r="L146" s="5">
        <v>44042</v>
      </c>
      <c r="M146" s="11" t="s">
        <v>231</v>
      </c>
      <c r="N146" s="11" t="str">
        <f t="shared" si="2"/>
        <v>770490</v>
      </c>
      <c r="O146" s="14">
        <v>45658</v>
      </c>
      <c r="P146" s="14"/>
      <c r="Q146" s="14"/>
    </row>
    <row r="147" spans="1:17" ht="10.199999999999999" customHeight="1" x14ac:dyDescent="0.25">
      <c r="A147" s="4" t="s">
        <v>471</v>
      </c>
      <c r="B147" s="4" t="s">
        <v>474</v>
      </c>
      <c r="C147" s="10" t="str">
        <f>MID(Tabela1[[#This Row],[Tributacao]],1,16)</f>
        <v>Simples Nacional</v>
      </c>
      <c r="D147" s="10" t="s">
        <v>1282</v>
      </c>
      <c r="E147" s="10">
        <v>0</v>
      </c>
      <c r="F147" s="4">
        <v>95707</v>
      </c>
      <c r="G147" s="1" t="s">
        <v>3</v>
      </c>
      <c r="H147" s="1" t="s">
        <v>126</v>
      </c>
      <c r="I147" s="1" t="s">
        <v>472</v>
      </c>
      <c r="J147" s="1" t="s">
        <v>473</v>
      </c>
      <c r="K147" s="1" t="s">
        <v>4</v>
      </c>
      <c r="L147" s="5">
        <v>44134</v>
      </c>
      <c r="M147" s="11" t="s">
        <v>1209</v>
      </c>
      <c r="N147" s="11" t="str">
        <f t="shared" si="2"/>
        <v>769801</v>
      </c>
      <c r="O147" s="14">
        <v>45658</v>
      </c>
      <c r="P147" s="14"/>
      <c r="Q147" s="14"/>
    </row>
    <row r="148" spans="1:17" ht="10.199999999999999" customHeight="1" x14ac:dyDescent="0.25">
      <c r="A148" s="4" t="s">
        <v>574</v>
      </c>
      <c r="B148" s="4" t="s">
        <v>577</v>
      </c>
      <c r="C148" s="10" t="str">
        <f>MID(Tabela1[[#This Row],[Tributacao]],1,16)</f>
        <v>Simples Nacional</v>
      </c>
      <c r="D148" s="10" t="s">
        <v>1282</v>
      </c>
      <c r="E148" s="10">
        <v>0</v>
      </c>
      <c r="F148" s="4">
        <v>104100</v>
      </c>
      <c r="G148" s="1" t="s">
        <v>3</v>
      </c>
      <c r="H148" s="1" t="s">
        <v>381</v>
      </c>
      <c r="I148" s="1" t="s">
        <v>575</v>
      </c>
      <c r="J148" s="1" t="s">
        <v>576</v>
      </c>
      <c r="K148" s="1" t="s">
        <v>4</v>
      </c>
      <c r="L148" s="5">
        <v>44707</v>
      </c>
      <c r="M148" s="11" t="s">
        <v>1220</v>
      </c>
      <c r="N148" s="11" t="str">
        <f t="shared" si="2"/>
        <v>021280</v>
      </c>
      <c r="O148" s="14">
        <v>45658</v>
      </c>
      <c r="P148" s="14"/>
      <c r="Q148" s="14"/>
    </row>
    <row r="149" spans="1:17" ht="10.199999999999999" customHeight="1" x14ac:dyDescent="0.25">
      <c r="A149" s="4" t="s">
        <v>248</v>
      </c>
      <c r="B149" s="4" t="s">
        <v>252</v>
      </c>
      <c r="C149" s="10" t="str">
        <f>MID(Tabela1[[#This Row],[Tributacao]],1,16)</f>
        <v>Simples Nacional</v>
      </c>
      <c r="D149" s="10" t="s">
        <v>1282</v>
      </c>
      <c r="E149" s="10">
        <v>0</v>
      </c>
      <c r="F149" s="4">
        <v>74722</v>
      </c>
      <c r="G149" s="1" t="s">
        <v>251</v>
      </c>
      <c r="H149" s="1" t="s">
        <v>206</v>
      </c>
      <c r="I149" s="1" t="s">
        <v>249</v>
      </c>
      <c r="J149" s="1" t="s">
        <v>250</v>
      </c>
      <c r="K149" s="1" t="s">
        <v>4</v>
      </c>
      <c r="L149" s="5">
        <v>41864</v>
      </c>
      <c r="M149" s="11" t="s">
        <v>517</v>
      </c>
      <c r="N149" s="11" t="str">
        <f t="shared" si="2"/>
        <v>735111</v>
      </c>
      <c r="O149" s="14">
        <v>45658</v>
      </c>
      <c r="P149" s="14"/>
      <c r="Q149" s="14"/>
    </row>
    <row r="150" spans="1:17" ht="10.199999999999999" customHeight="1" x14ac:dyDescent="0.25">
      <c r="A150" s="4" t="s">
        <v>344</v>
      </c>
      <c r="B150" s="4" t="s">
        <v>350</v>
      </c>
      <c r="C150" s="10" t="str">
        <f>MID(Tabela1[[#This Row],[Tributacao]],1,16)</f>
        <v>Simples Nacional</v>
      </c>
      <c r="D150" s="10" t="s">
        <v>1282</v>
      </c>
      <c r="E150" s="10" t="s">
        <v>1310</v>
      </c>
      <c r="F150" s="4">
        <v>16213914</v>
      </c>
      <c r="G150" s="1" t="s">
        <v>347</v>
      </c>
      <c r="H150" s="1" t="s">
        <v>348</v>
      </c>
      <c r="I150" s="1" t="s">
        <v>345</v>
      </c>
      <c r="J150" s="1" t="s">
        <v>346</v>
      </c>
      <c r="K150" s="1" t="s">
        <v>349</v>
      </c>
      <c r="L150" s="5">
        <v>29846</v>
      </c>
      <c r="M150" s="11" t="s">
        <v>1191</v>
      </c>
      <c r="N150" s="11" t="str">
        <f t="shared" si="2"/>
        <v>837778</v>
      </c>
      <c r="O150" s="14">
        <v>45658</v>
      </c>
      <c r="P150" s="14"/>
      <c r="Q150" s="14"/>
    </row>
    <row r="151" spans="1:17" ht="10.199999999999999" customHeight="1" x14ac:dyDescent="0.25">
      <c r="A151" s="4" t="s">
        <v>209</v>
      </c>
      <c r="B151" s="4" t="s">
        <v>213</v>
      </c>
      <c r="C151" s="10" t="str">
        <f>MID(Tabela1[[#This Row],[Tributacao]],1,16)</f>
        <v>Simples Nacional</v>
      </c>
      <c r="D151" s="10" t="s">
        <v>1282</v>
      </c>
      <c r="E151" s="10">
        <v>0</v>
      </c>
      <c r="F151" s="4">
        <v>73441</v>
      </c>
      <c r="G151" s="1" t="s">
        <v>211</v>
      </c>
      <c r="H151" s="1" t="s">
        <v>212</v>
      </c>
      <c r="I151" s="1" t="s">
        <v>1277</v>
      </c>
      <c r="J151" s="1" t="s">
        <v>210</v>
      </c>
      <c r="K151" s="1" t="s">
        <v>4</v>
      </c>
      <c r="L151" s="5">
        <v>40312</v>
      </c>
      <c r="M151" s="11">
        <v>23595728149</v>
      </c>
      <c r="N151" s="11" t="str">
        <f t="shared" si="2"/>
        <v>235957</v>
      </c>
      <c r="O151" s="14">
        <v>45658</v>
      </c>
      <c r="P151" s="14"/>
      <c r="Q151" s="14"/>
    </row>
    <row r="152" spans="1:17" ht="10.199999999999999" customHeight="1" x14ac:dyDescent="0.25">
      <c r="A152" s="4" t="s">
        <v>914</v>
      </c>
      <c r="B152" s="4" t="s">
        <v>917</v>
      </c>
      <c r="C152" s="10" t="str">
        <f>MID(Tabela1[[#This Row],[Tributacao]],1,16)</f>
        <v>Simples Nacional</v>
      </c>
      <c r="D152" s="10" t="s">
        <v>1282</v>
      </c>
      <c r="E152" s="10">
        <v>0</v>
      </c>
      <c r="F152" s="4">
        <v>126674</v>
      </c>
      <c r="G152" s="1" t="s">
        <v>3</v>
      </c>
      <c r="H152" s="1" t="s">
        <v>916</v>
      </c>
      <c r="I152" s="1" t="s">
        <v>840</v>
      </c>
      <c r="J152" s="1" t="s">
        <v>915</v>
      </c>
      <c r="K152" s="1" t="s">
        <v>4</v>
      </c>
      <c r="L152" s="5">
        <v>45853</v>
      </c>
      <c r="M152" s="11" t="s">
        <v>1218</v>
      </c>
      <c r="N152" s="11" t="str">
        <f t="shared" si="2"/>
        <v>701796</v>
      </c>
      <c r="O152" s="14">
        <f>L152</f>
        <v>45853</v>
      </c>
      <c r="P152" s="14"/>
      <c r="Q152" s="14"/>
    </row>
    <row r="153" spans="1:17" ht="10.199999999999999" customHeight="1" x14ac:dyDescent="0.25">
      <c r="A153" s="4" t="s">
        <v>389</v>
      </c>
      <c r="B153" s="4" t="s">
        <v>392</v>
      </c>
      <c r="C153" s="10" t="str">
        <f>MID(Tabela1[[#This Row],[Tributacao]],1,16)</f>
        <v>Simples Nacional</v>
      </c>
      <c r="D153" s="10" t="s">
        <v>1282</v>
      </c>
      <c r="E153" s="10">
        <v>0</v>
      </c>
      <c r="F153" s="4">
        <v>89797</v>
      </c>
      <c r="G153" s="1" t="s">
        <v>391</v>
      </c>
      <c r="H153" s="1" t="s">
        <v>126</v>
      </c>
      <c r="I153" s="1" t="s">
        <v>83</v>
      </c>
      <c r="J153" s="1" t="s">
        <v>390</v>
      </c>
      <c r="K153" s="1" t="s">
        <v>4</v>
      </c>
      <c r="L153" s="5">
        <v>43549</v>
      </c>
      <c r="M153" s="11" t="s">
        <v>82</v>
      </c>
      <c r="N153" s="11" t="str">
        <f t="shared" si="2"/>
        <v>878389</v>
      </c>
      <c r="O153" s="14">
        <v>45658</v>
      </c>
      <c r="P153" s="14"/>
      <c r="Q153" s="14"/>
    </row>
    <row r="154" spans="1:17" ht="10.199999999999999" customHeight="1" x14ac:dyDescent="0.25">
      <c r="A154" s="4" t="s">
        <v>171</v>
      </c>
      <c r="B154" s="4" t="s">
        <v>176</v>
      </c>
      <c r="C154" s="10" t="str">
        <f>MID(Tabela1[[#This Row],[Tributacao]],1,16)</f>
        <v>Simples Nacional</v>
      </c>
      <c r="D154" s="10" t="s">
        <v>1282</v>
      </c>
      <c r="E154" s="10">
        <v>0</v>
      </c>
      <c r="F154" s="4">
        <v>71893</v>
      </c>
      <c r="G154" s="1" t="s">
        <v>174</v>
      </c>
      <c r="H154" s="1" t="s">
        <v>175</v>
      </c>
      <c r="I154" s="1" t="s">
        <v>172</v>
      </c>
      <c r="J154" s="1" t="s">
        <v>173</v>
      </c>
      <c r="K154" s="1" t="s">
        <v>4</v>
      </c>
      <c r="L154" s="5">
        <v>41584</v>
      </c>
      <c r="M154" s="11" t="s">
        <v>1168</v>
      </c>
      <c r="N154" s="11" t="str">
        <f t="shared" si="2"/>
        <v>331170</v>
      </c>
      <c r="O154" s="14">
        <v>45658</v>
      </c>
      <c r="P154" s="14"/>
      <c r="Q154" s="14"/>
    </row>
    <row r="155" spans="1:17" ht="10.199999999999999" customHeight="1" x14ac:dyDescent="0.25">
      <c r="A155" s="4" t="s">
        <v>869</v>
      </c>
      <c r="B155" s="4" t="s">
        <v>871</v>
      </c>
      <c r="C155" s="10" t="str">
        <f>MID(Tabela1[[#This Row],[Tributacao]],1,16)</f>
        <v>Simples Nacional</v>
      </c>
      <c r="D155" s="10" t="s">
        <v>1282</v>
      </c>
      <c r="E155" s="10" t="s">
        <v>1320</v>
      </c>
      <c r="F155" s="4">
        <v>124112</v>
      </c>
      <c r="G155" s="1" t="s">
        <v>870</v>
      </c>
      <c r="H155" s="1" t="s">
        <v>28</v>
      </c>
      <c r="I155" s="1" t="s">
        <v>301</v>
      </c>
      <c r="J155" s="1" t="s">
        <v>3</v>
      </c>
      <c r="K155" s="1" t="s">
        <v>4</v>
      </c>
      <c r="L155" s="5">
        <v>45673</v>
      </c>
      <c r="M155" s="11" t="s">
        <v>1261</v>
      </c>
      <c r="N155" s="11" t="str">
        <f t="shared" si="2"/>
        <v>871802</v>
      </c>
      <c r="O155" s="14">
        <f>L155</f>
        <v>45673</v>
      </c>
      <c r="P155" s="14"/>
      <c r="Q155" s="14"/>
    </row>
    <row r="156" spans="1:17" ht="10.199999999999999" customHeight="1" x14ac:dyDescent="0.25">
      <c r="A156" s="4" t="s">
        <v>783</v>
      </c>
      <c r="B156" s="4" t="s">
        <v>787</v>
      </c>
      <c r="C156" s="10" t="str">
        <f>MID(Tabela1[[#This Row],[Tributacao]],1,16)</f>
        <v>Simples Nacional</v>
      </c>
      <c r="D156" s="10" t="s">
        <v>1282</v>
      </c>
      <c r="E156" s="10">
        <v>0</v>
      </c>
      <c r="F156" s="4">
        <v>113594</v>
      </c>
      <c r="G156" s="1" t="s">
        <v>786</v>
      </c>
      <c r="H156" s="1" t="s">
        <v>331</v>
      </c>
      <c r="I156" s="1" t="s">
        <v>784</v>
      </c>
      <c r="J156" s="1" t="s">
        <v>785</v>
      </c>
      <c r="K156" s="1" t="s">
        <v>4</v>
      </c>
      <c r="L156" s="5">
        <v>45342</v>
      </c>
      <c r="M156" s="11" t="s">
        <v>1251</v>
      </c>
      <c r="N156" s="11" t="str">
        <f t="shared" si="2"/>
        <v>018821</v>
      </c>
      <c r="O156" s="14">
        <v>45658</v>
      </c>
      <c r="P156" s="14"/>
      <c r="Q156" s="14"/>
    </row>
    <row r="157" spans="1:17" ht="10.199999999999999" customHeight="1" x14ac:dyDescent="0.25">
      <c r="A157" s="4" t="s">
        <v>106</v>
      </c>
      <c r="B157" s="4" t="s">
        <v>111</v>
      </c>
      <c r="C157" s="10" t="str">
        <f>MID(Tabela1[[#This Row],[Tributacao]],1,16)</f>
        <v>Simples Nacional</v>
      </c>
      <c r="D157" s="10" t="s">
        <v>1282</v>
      </c>
      <c r="E157" s="10">
        <v>0</v>
      </c>
      <c r="F157" s="4">
        <v>63261</v>
      </c>
      <c r="G157" s="1" t="s">
        <v>109</v>
      </c>
      <c r="H157" s="1" t="s">
        <v>110</v>
      </c>
      <c r="I157" s="1" t="s">
        <v>107</v>
      </c>
      <c r="J157" s="1" t="s">
        <v>108</v>
      </c>
      <c r="K157" s="1" t="s">
        <v>4</v>
      </c>
      <c r="L157" s="5">
        <v>40598</v>
      </c>
      <c r="M157" s="11" t="s">
        <v>446</v>
      </c>
      <c r="N157" s="11" t="str">
        <f t="shared" si="2"/>
        <v>165347</v>
      </c>
      <c r="O157" s="14">
        <v>45658</v>
      </c>
      <c r="P157" s="14"/>
      <c r="Q157" s="14"/>
    </row>
    <row r="158" spans="1:17" ht="10.199999999999999" customHeight="1" x14ac:dyDescent="0.25">
      <c r="A158" s="4" t="s">
        <v>757</v>
      </c>
      <c r="B158" s="4" t="s">
        <v>761</v>
      </c>
      <c r="C158" s="10" t="str">
        <f>MID(Tabela1[[#This Row],[Tributacao]],1,16)</f>
        <v>Simples Nacional</v>
      </c>
      <c r="D158" s="10" t="s">
        <v>1282</v>
      </c>
      <c r="E158" s="10">
        <v>0</v>
      </c>
      <c r="F158" s="4">
        <v>112445</v>
      </c>
      <c r="G158" s="1" t="s">
        <v>760</v>
      </c>
      <c r="H158" s="1" t="s">
        <v>331</v>
      </c>
      <c r="I158" s="1" t="s">
        <v>758</v>
      </c>
      <c r="J158" s="1" t="s">
        <v>759</v>
      </c>
      <c r="K158" s="1" t="s">
        <v>4</v>
      </c>
      <c r="L158" s="5">
        <v>45239</v>
      </c>
      <c r="M158" s="11" t="s">
        <v>1246</v>
      </c>
      <c r="N158" s="11" t="str">
        <f t="shared" si="2"/>
        <v>049881</v>
      </c>
      <c r="O158" s="14">
        <v>45658</v>
      </c>
      <c r="P158" s="14"/>
      <c r="Q158" s="14"/>
    </row>
    <row r="159" spans="1:17" ht="10.199999999999999" customHeight="1" x14ac:dyDescent="0.25">
      <c r="A159" s="4" t="s">
        <v>611</v>
      </c>
      <c r="B159" s="4" t="s">
        <v>614</v>
      </c>
      <c r="C159" s="10" t="str">
        <f>MID(Tabela1[[#This Row],[Tributacao]],1,16)</f>
        <v>Simples Nacional</v>
      </c>
      <c r="D159" s="10" t="s">
        <v>1282</v>
      </c>
      <c r="E159" s="10">
        <v>0</v>
      </c>
      <c r="F159" s="4">
        <v>106833</v>
      </c>
      <c r="G159" s="1" t="s">
        <v>613</v>
      </c>
      <c r="H159" s="1" t="s">
        <v>247</v>
      </c>
      <c r="I159" s="1" t="s">
        <v>612</v>
      </c>
      <c r="J159" s="1" t="s">
        <v>413</v>
      </c>
      <c r="K159" s="1" t="s">
        <v>4</v>
      </c>
      <c r="L159" s="5">
        <v>44862</v>
      </c>
      <c r="M159" s="11" t="s">
        <v>1204</v>
      </c>
      <c r="N159" s="11" t="str">
        <f t="shared" si="2"/>
        <v>710030</v>
      </c>
      <c r="O159" s="14">
        <v>45658</v>
      </c>
      <c r="P159" s="14"/>
      <c r="Q159" s="14"/>
    </row>
    <row r="160" spans="1:17" ht="10.199999999999999" customHeight="1" x14ac:dyDescent="0.25">
      <c r="A160" s="4" t="s">
        <v>723</v>
      </c>
      <c r="B160" s="4" t="s">
        <v>726</v>
      </c>
      <c r="C160" s="10" t="str">
        <f>MID(Tabela1[[#This Row],[Tributacao]],1,16)</f>
        <v>Simples Nacional</v>
      </c>
      <c r="D160" s="10" t="s">
        <v>1282</v>
      </c>
      <c r="E160" s="10">
        <v>0</v>
      </c>
      <c r="F160" s="4">
        <v>111419</v>
      </c>
      <c r="G160" s="1" t="s">
        <v>725</v>
      </c>
      <c r="H160" s="1" t="s">
        <v>650</v>
      </c>
      <c r="I160" s="1" t="s">
        <v>724</v>
      </c>
      <c r="J160" s="1" t="s">
        <v>636</v>
      </c>
      <c r="K160" s="1" t="s">
        <v>4</v>
      </c>
      <c r="L160" s="5">
        <v>45160</v>
      </c>
      <c r="M160" s="11" t="s">
        <v>1228</v>
      </c>
      <c r="N160" s="11" t="str">
        <f t="shared" si="2"/>
        <v>714514</v>
      </c>
      <c r="O160" s="14">
        <v>45658</v>
      </c>
      <c r="P160" s="14"/>
      <c r="Q160" s="14"/>
    </row>
    <row r="161" spans="1:17" ht="10.199999999999999" customHeight="1" x14ac:dyDescent="0.25">
      <c r="A161" s="4" t="s">
        <v>369</v>
      </c>
      <c r="B161" s="4" t="s">
        <v>373</v>
      </c>
      <c r="C161" s="10" t="str">
        <f>MID(Tabela1[[#This Row],[Tributacao]],1,16)</f>
        <v>Simples Nacional</v>
      </c>
      <c r="D161" s="10" t="s">
        <v>1282</v>
      </c>
      <c r="E161" s="10">
        <v>0</v>
      </c>
      <c r="F161" s="4">
        <v>87912</v>
      </c>
      <c r="G161" s="1" t="s">
        <v>372</v>
      </c>
      <c r="H161" s="1" t="s">
        <v>206</v>
      </c>
      <c r="I161" s="1" t="s">
        <v>370</v>
      </c>
      <c r="J161" s="1" t="s">
        <v>371</v>
      </c>
      <c r="K161" s="1" t="s">
        <v>4</v>
      </c>
      <c r="L161" s="5">
        <v>43432</v>
      </c>
      <c r="M161" s="11" t="s">
        <v>1177</v>
      </c>
      <c r="N161" s="11" t="str">
        <f t="shared" si="2"/>
        <v>906993</v>
      </c>
      <c r="O161" s="14">
        <v>45658</v>
      </c>
      <c r="P161" s="14"/>
      <c r="Q161" s="14"/>
    </row>
    <row r="162" spans="1:17" ht="10.199999999999999" customHeight="1" x14ac:dyDescent="0.25">
      <c r="A162" s="4" t="s">
        <v>727</v>
      </c>
      <c r="B162" s="4" t="s">
        <v>730</v>
      </c>
      <c r="C162" s="10" t="str">
        <f>MID(Tabela1[[#This Row],[Tributacao]],1,16)</f>
        <v>Simples Nacional</v>
      </c>
      <c r="D162" s="10" t="s">
        <v>1282</v>
      </c>
      <c r="E162" s="10" t="s">
        <v>1338</v>
      </c>
      <c r="F162" s="4">
        <v>112096</v>
      </c>
      <c r="G162" s="1" t="s">
        <v>729</v>
      </c>
      <c r="H162" s="1" t="s">
        <v>316</v>
      </c>
      <c r="I162" s="1" t="s">
        <v>629</v>
      </c>
      <c r="J162" s="1" t="s">
        <v>728</v>
      </c>
      <c r="K162" s="1" t="s">
        <v>4</v>
      </c>
      <c r="L162" s="5">
        <v>45204</v>
      </c>
      <c r="M162" s="11" t="s">
        <v>1225</v>
      </c>
      <c r="N162" s="11" t="str">
        <f t="shared" si="2"/>
        <v>510860</v>
      </c>
      <c r="O162" s="14">
        <v>45658</v>
      </c>
      <c r="P162" s="14"/>
      <c r="Q162" s="14"/>
    </row>
    <row r="163" spans="1:17" ht="10.199999999999999" customHeight="1" x14ac:dyDescent="0.25">
      <c r="A163" s="4" t="s">
        <v>806</v>
      </c>
      <c r="B163" s="4" t="s">
        <v>810</v>
      </c>
      <c r="C163" s="10" t="str">
        <f>MID(Tabela1[[#This Row],[Tributacao]],1,16)</f>
        <v>Simples Nacional</v>
      </c>
      <c r="D163" s="10" t="s">
        <v>1282</v>
      </c>
      <c r="E163" s="10" t="s">
        <v>1339</v>
      </c>
      <c r="F163" s="4">
        <v>114989</v>
      </c>
      <c r="G163" s="1" t="s">
        <v>809</v>
      </c>
      <c r="H163" s="1" t="s">
        <v>96</v>
      </c>
      <c r="I163" s="1" t="s">
        <v>807</v>
      </c>
      <c r="J163" s="1" t="s">
        <v>808</v>
      </c>
      <c r="K163" s="1" t="s">
        <v>4</v>
      </c>
      <c r="L163" s="5">
        <v>45456</v>
      </c>
      <c r="M163" s="11" t="s">
        <v>1254</v>
      </c>
      <c r="N163" s="11" t="str">
        <f t="shared" si="2"/>
        <v>049462</v>
      </c>
      <c r="O163" s="14">
        <v>45658</v>
      </c>
      <c r="P163" s="14"/>
      <c r="Q163" s="14"/>
    </row>
    <row r="164" spans="1:17" ht="10.199999999999999" customHeight="1" x14ac:dyDescent="0.25">
      <c r="A164" s="4" t="s">
        <v>339</v>
      </c>
      <c r="B164" s="4" t="s">
        <v>343</v>
      </c>
      <c r="C164" s="10" t="str">
        <f>MID(Tabela1[[#This Row],[Tributacao]],1,16)</f>
        <v>Simples Nacional</v>
      </c>
      <c r="D164" s="10" t="s">
        <v>1282</v>
      </c>
      <c r="E164" s="10">
        <v>0</v>
      </c>
      <c r="F164" s="4">
        <v>3304940</v>
      </c>
      <c r="G164" s="1" t="s">
        <v>342</v>
      </c>
      <c r="H164" s="1" t="s">
        <v>175</v>
      </c>
      <c r="I164" s="1" t="s">
        <v>340</v>
      </c>
      <c r="J164" s="1" t="s">
        <v>341</v>
      </c>
      <c r="K164" s="1" t="s">
        <v>297</v>
      </c>
      <c r="L164" s="5">
        <v>43283</v>
      </c>
      <c r="M164" s="11" t="s">
        <v>1189</v>
      </c>
      <c r="N164" s="11" t="str">
        <f t="shared" si="2"/>
        <v>902343</v>
      </c>
      <c r="O164" s="14">
        <v>45658</v>
      </c>
      <c r="P164" s="14"/>
      <c r="Q164" s="14"/>
    </row>
    <row r="165" spans="1:17" ht="10.199999999999999" customHeight="1" x14ac:dyDescent="0.25">
      <c r="A165" s="4" t="s">
        <v>598</v>
      </c>
      <c r="B165" s="4" t="s">
        <v>600</v>
      </c>
      <c r="C165" s="10" t="str">
        <f>MID(Tabela1[[#This Row],[Tributacao]],1,16)</f>
        <v>Simples Nacional</v>
      </c>
      <c r="D165" s="10" t="s">
        <v>1282</v>
      </c>
      <c r="E165" s="10">
        <v>0</v>
      </c>
      <c r="F165" s="4">
        <v>104520</v>
      </c>
      <c r="G165" s="1" t="s">
        <v>599</v>
      </c>
      <c r="H165" s="1" t="s">
        <v>96</v>
      </c>
      <c r="I165" s="1" t="s">
        <v>287</v>
      </c>
      <c r="J165" s="1" t="s">
        <v>288</v>
      </c>
      <c r="K165" s="1" t="s">
        <v>4</v>
      </c>
      <c r="L165" s="5">
        <v>44740</v>
      </c>
      <c r="M165" s="11" t="s">
        <v>1206</v>
      </c>
      <c r="N165" s="11" t="str">
        <f t="shared" si="2"/>
        <v>998020</v>
      </c>
      <c r="O165" s="14">
        <v>45658</v>
      </c>
      <c r="P165" s="14"/>
      <c r="Q165" s="14"/>
    </row>
    <row r="166" spans="1:17" ht="10.199999999999999" customHeight="1" x14ac:dyDescent="0.25">
      <c r="A166" s="4" t="s">
        <v>265</v>
      </c>
      <c r="B166" s="4" t="s">
        <v>270</v>
      </c>
      <c r="C166" s="10" t="str">
        <f>MID(Tabela1[[#This Row],[Tributacao]],1,16)</f>
        <v>Simples Nacional</v>
      </c>
      <c r="D166" s="10" t="s">
        <v>1282</v>
      </c>
      <c r="E166" s="10">
        <v>0</v>
      </c>
      <c r="F166" s="4">
        <v>4870</v>
      </c>
      <c r="G166" s="1" t="s">
        <v>268</v>
      </c>
      <c r="H166" s="1" t="s">
        <v>269</v>
      </c>
      <c r="I166" s="1" t="s">
        <v>266</v>
      </c>
      <c r="J166" s="1" t="s">
        <v>267</v>
      </c>
      <c r="K166" s="1" t="s">
        <v>208</v>
      </c>
      <c r="L166" s="5">
        <v>42544</v>
      </c>
      <c r="M166" s="11" t="s">
        <v>1196</v>
      </c>
      <c r="N166" s="11" t="str">
        <f t="shared" si="2"/>
        <v>046604</v>
      </c>
      <c r="O166" s="14">
        <v>45658</v>
      </c>
      <c r="P166" s="14"/>
      <c r="Q166" s="14"/>
    </row>
    <row r="167" spans="1:17" ht="10.199999999999999" customHeight="1" x14ac:dyDescent="0.25">
      <c r="A167" s="4" t="s">
        <v>302</v>
      </c>
      <c r="B167" s="4" t="s">
        <v>306</v>
      </c>
      <c r="C167" s="10" t="str">
        <f>MID(Tabela1[[#This Row],[Tributacao]],1,16)</f>
        <v>Simples Nacional</v>
      </c>
      <c r="D167" s="10" t="s">
        <v>1282</v>
      </c>
      <c r="E167" s="10" t="s">
        <v>1344</v>
      </c>
      <c r="F167" s="4">
        <v>68946</v>
      </c>
      <c r="G167" s="1" t="s">
        <v>305</v>
      </c>
      <c r="H167" s="1" t="s">
        <v>243</v>
      </c>
      <c r="I167" s="1" t="s">
        <v>303</v>
      </c>
      <c r="J167" s="1" t="s">
        <v>304</v>
      </c>
      <c r="K167" s="1" t="s">
        <v>4</v>
      </c>
      <c r="L167" s="5">
        <v>42885</v>
      </c>
      <c r="M167" s="11" t="s">
        <v>1184</v>
      </c>
      <c r="N167" s="11" t="str">
        <f t="shared" si="2"/>
        <v>591642</v>
      </c>
      <c r="O167" s="14">
        <v>45658</v>
      </c>
      <c r="P167" s="14"/>
      <c r="Q167" s="14"/>
    </row>
    <row r="168" spans="1:17" ht="10.199999999999999" customHeight="1" x14ac:dyDescent="0.25">
      <c r="A168" s="4" t="s">
        <v>1040</v>
      </c>
      <c r="B168" s="4" t="s">
        <v>1044</v>
      </c>
      <c r="C168" s="10" t="str">
        <f>MID(Tabela1[[#This Row],[Tributacao]],1,16)</f>
        <v>Simples Nacional</v>
      </c>
      <c r="D168" s="10" t="s">
        <v>1282</v>
      </c>
      <c r="E168" s="10">
        <v>0</v>
      </c>
      <c r="F168" s="4">
        <v>55453</v>
      </c>
      <c r="G168" s="1" t="s">
        <v>1043</v>
      </c>
      <c r="H168" s="1" t="s">
        <v>331</v>
      </c>
      <c r="I168" s="1" t="s">
        <v>1041</v>
      </c>
      <c r="J168" s="1" t="s">
        <v>1042</v>
      </c>
      <c r="K168" s="1" t="s">
        <v>4</v>
      </c>
      <c r="L168" s="5">
        <v>39780</v>
      </c>
      <c r="M168" s="11" t="s">
        <v>1116</v>
      </c>
      <c r="N168" s="11" t="str">
        <f t="shared" si="2"/>
        <v>533534</v>
      </c>
      <c r="O168" s="14">
        <v>45658</v>
      </c>
      <c r="P168" s="14"/>
      <c r="Q168" s="14"/>
    </row>
    <row r="169" spans="1:17" ht="10.199999999999999" customHeight="1" x14ac:dyDescent="0.25">
      <c r="A169" s="4" t="s">
        <v>22</v>
      </c>
      <c r="B169" s="4" t="s">
        <v>27</v>
      </c>
      <c r="C169" s="10" t="str">
        <f>MID(Tabela1[[#This Row],[Tributacao]],1,16)</f>
        <v>Simples Nacional</v>
      </c>
      <c r="D169" s="10" t="s">
        <v>1282</v>
      </c>
      <c r="E169" s="10">
        <v>0</v>
      </c>
      <c r="F169" s="4">
        <v>47980</v>
      </c>
      <c r="G169" s="1" t="s">
        <v>25</v>
      </c>
      <c r="H169" s="1" t="s">
        <v>26</v>
      </c>
      <c r="I169" s="1" t="s">
        <v>23</v>
      </c>
      <c r="J169" s="1" t="s">
        <v>24</v>
      </c>
      <c r="K169" s="1" t="s">
        <v>4</v>
      </c>
      <c r="L169" s="5">
        <v>40644</v>
      </c>
      <c r="M169" s="11" t="s">
        <v>1153</v>
      </c>
      <c r="N169" s="11" t="str">
        <f t="shared" si="2"/>
        <v>830075</v>
      </c>
      <c r="O169" s="14">
        <v>45658</v>
      </c>
      <c r="P169" s="14"/>
      <c r="Q169" s="14"/>
    </row>
    <row r="170" spans="1:17" ht="10.199999999999999" customHeight="1" x14ac:dyDescent="0.25">
      <c r="A170" s="4" t="s">
        <v>927</v>
      </c>
      <c r="B170" s="4" t="s">
        <v>930</v>
      </c>
      <c r="C170" s="10" t="str">
        <f>MID(Tabela1[[#This Row],[Tributacao]],1,16)</f>
        <v>Simples Nacional</v>
      </c>
      <c r="D170" s="10" t="s">
        <v>1282</v>
      </c>
      <c r="E170" s="10">
        <v>0</v>
      </c>
      <c r="F170" s="4">
        <v>111714</v>
      </c>
      <c r="G170" s="1" t="s">
        <v>3</v>
      </c>
      <c r="H170" s="1" t="s">
        <v>331</v>
      </c>
      <c r="I170" s="1" t="s">
        <v>928</v>
      </c>
      <c r="J170" s="1" t="s">
        <v>929</v>
      </c>
      <c r="K170" s="1" t="s">
        <v>4</v>
      </c>
      <c r="L170" s="5">
        <v>45929</v>
      </c>
      <c r="M170" s="11" t="s">
        <v>1128</v>
      </c>
      <c r="N170" s="11" t="str">
        <f t="shared" si="2"/>
        <v>729934</v>
      </c>
      <c r="O170" s="14">
        <f>L170</f>
        <v>45929</v>
      </c>
      <c r="P170" s="14"/>
      <c r="Q170" s="14"/>
    </row>
    <row r="171" spans="1:17" ht="10.199999999999999" customHeight="1" x14ac:dyDescent="0.25">
      <c r="A171" s="4" t="s">
        <v>510</v>
      </c>
      <c r="B171" s="4" t="s">
        <v>515</v>
      </c>
      <c r="C171" s="10" t="str">
        <f>MID(Tabela1[[#This Row],[Tributacao]],1,16)</f>
        <v>Simples Nacional</v>
      </c>
      <c r="D171" s="10" t="s">
        <v>1282</v>
      </c>
      <c r="E171" s="10">
        <v>0</v>
      </c>
      <c r="F171" s="4">
        <v>77452</v>
      </c>
      <c r="G171" s="1" t="s">
        <v>513</v>
      </c>
      <c r="H171" s="1" t="s">
        <v>514</v>
      </c>
      <c r="I171" s="1" t="s">
        <v>511</v>
      </c>
      <c r="J171" s="1" t="s">
        <v>512</v>
      </c>
      <c r="K171" s="1" t="s">
        <v>4</v>
      </c>
      <c r="L171" s="5">
        <v>42370</v>
      </c>
      <c r="M171" s="11" t="s">
        <v>1212</v>
      </c>
      <c r="N171" s="11" t="str">
        <f t="shared" si="2"/>
        <v>283222</v>
      </c>
      <c r="O171" s="14">
        <v>45658</v>
      </c>
      <c r="P171" s="14"/>
      <c r="Q171" s="14"/>
    </row>
    <row r="172" spans="1:17" ht="10.199999999999999" customHeight="1" x14ac:dyDescent="0.25">
      <c r="A172" s="4" t="s">
        <v>902</v>
      </c>
      <c r="B172" s="4" t="s">
        <v>905</v>
      </c>
      <c r="C172" s="10" t="str">
        <f>MID(Tabela1[[#This Row],[Tributacao]],1,16)</f>
        <v>Simples Nacional</v>
      </c>
      <c r="D172" s="10" t="s">
        <v>1282</v>
      </c>
      <c r="E172" s="10" t="s">
        <v>1356</v>
      </c>
      <c r="F172" s="4">
        <v>98780</v>
      </c>
      <c r="G172" s="1" t="s">
        <v>3</v>
      </c>
      <c r="H172" s="1" t="s">
        <v>243</v>
      </c>
      <c r="I172" s="1" t="s">
        <v>903</v>
      </c>
      <c r="J172" s="1" t="s">
        <v>904</v>
      </c>
      <c r="K172" s="1" t="s">
        <v>4</v>
      </c>
      <c r="L172" s="5">
        <v>45779</v>
      </c>
      <c r="M172" s="11" t="s">
        <v>1268</v>
      </c>
      <c r="N172" s="11" t="str">
        <f t="shared" si="2"/>
        <v>041776</v>
      </c>
      <c r="O172" s="14">
        <f>L172</f>
        <v>45779</v>
      </c>
      <c r="P172" s="14"/>
      <c r="Q172" s="14"/>
    </row>
    <row r="173" spans="1:17" ht="10.199999999999999" customHeight="1" x14ac:dyDescent="0.25">
      <c r="A173" s="4" t="s">
        <v>625</v>
      </c>
      <c r="B173" s="4" t="s">
        <v>628</v>
      </c>
      <c r="C173" s="10" t="str">
        <f>MID(Tabela1[[#This Row],[Tributacao]],1,16)</f>
        <v>Simples Nacional</v>
      </c>
      <c r="D173" s="10" t="s">
        <v>1282</v>
      </c>
      <c r="E173" s="10">
        <v>0</v>
      </c>
      <c r="F173" s="4">
        <v>108117</v>
      </c>
      <c r="G173" s="1" t="s">
        <v>627</v>
      </c>
      <c r="H173" s="1" t="s">
        <v>228</v>
      </c>
      <c r="I173" s="1" t="s">
        <v>429</v>
      </c>
      <c r="J173" s="1" t="s">
        <v>626</v>
      </c>
      <c r="K173" s="1" t="s">
        <v>4</v>
      </c>
      <c r="L173" s="5">
        <v>44953</v>
      </c>
      <c r="M173" s="11" t="s">
        <v>1201</v>
      </c>
      <c r="N173" s="11" t="str">
        <f t="shared" si="2"/>
        <v>700935</v>
      </c>
      <c r="O173" s="14">
        <v>45658</v>
      </c>
      <c r="P173" s="14"/>
      <c r="Q173" s="14"/>
    </row>
    <row r="174" spans="1:17" ht="10.199999999999999" customHeight="1" x14ac:dyDescent="0.25">
      <c r="A174" s="4" t="s">
        <v>852</v>
      </c>
      <c r="B174" s="4" t="s">
        <v>856</v>
      </c>
      <c r="C174" s="10" t="str">
        <f>MID(Tabela1[[#This Row],[Tributacao]],1,16)</f>
        <v>Simples Nacional</v>
      </c>
      <c r="D174" s="10" t="s">
        <v>1282</v>
      </c>
      <c r="E174" s="10">
        <v>0</v>
      </c>
      <c r="F174" s="4">
        <v>123377</v>
      </c>
      <c r="G174" s="1" t="s">
        <v>855</v>
      </c>
      <c r="H174" s="1" t="s">
        <v>516</v>
      </c>
      <c r="I174" s="1" t="s">
        <v>853</v>
      </c>
      <c r="J174" s="1" t="s">
        <v>854</v>
      </c>
      <c r="K174" s="1" t="s">
        <v>4</v>
      </c>
      <c r="L174" s="5">
        <v>45601</v>
      </c>
      <c r="M174" s="11" t="s">
        <v>1203</v>
      </c>
      <c r="N174" s="11" t="str">
        <f t="shared" si="2"/>
        <v>049494</v>
      </c>
      <c r="O174" s="14">
        <v>45658</v>
      </c>
      <c r="P174" s="14"/>
      <c r="Q174" s="14"/>
    </row>
    <row r="175" spans="1:17" ht="10.199999999999999" customHeight="1" x14ac:dyDescent="0.25">
      <c r="A175" s="4" t="s">
        <v>360</v>
      </c>
      <c r="B175" s="4" t="s">
        <v>363</v>
      </c>
      <c r="C175" s="10" t="str">
        <f>MID(Tabela1[[#This Row],[Tributacao]],1,16)</f>
        <v>Simples Nacional</v>
      </c>
      <c r="D175" s="10" t="s">
        <v>1282</v>
      </c>
      <c r="E175" s="10">
        <v>0</v>
      </c>
      <c r="F175" s="4">
        <v>86993</v>
      </c>
      <c r="G175" s="1" t="s">
        <v>362</v>
      </c>
      <c r="H175" s="1" t="s">
        <v>228</v>
      </c>
      <c r="I175" s="1" t="s">
        <v>227</v>
      </c>
      <c r="J175" s="1" t="s">
        <v>361</v>
      </c>
      <c r="K175" s="1" t="s">
        <v>4</v>
      </c>
      <c r="L175" s="5">
        <v>43332</v>
      </c>
      <c r="M175" s="11" t="s">
        <v>246</v>
      </c>
      <c r="N175" s="11" t="str">
        <f t="shared" si="2"/>
        <v>890351</v>
      </c>
      <c r="O175" s="14">
        <v>45658</v>
      </c>
      <c r="P175" s="14"/>
      <c r="Q175" s="14"/>
    </row>
    <row r="176" spans="1:17" ht="10.199999999999999" customHeight="1" x14ac:dyDescent="0.25">
      <c r="A176" s="4" t="s">
        <v>830</v>
      </c>
      <c r="B176" s="4" t="s">
        <v>833</v>
      </c>
      <c r="C176" s="10" t="str">
        <f>MID(Tabela1[[#This Row],[Tributacao]],1,16)</f>
        <v>Simples Nacional</v>
      </c>
      <c r="D176" s="10" t="s">
        <v>1282</v>
      </c>
      <c r="E176" s="10" t="s">
        <v>1364</v>
      </c>
      <c r="F176" s="4">
        <v>91409</v>
      </c>
      <c r="G176" s="1" t="s">
        <v>3</v>
      </c>
      <c r="H176" s="1" t="s">
        <v>28</v>
      </c>
      <c r="I176" s="1" t="s">
        <v>831</v>
      </c>
      <c r="J176" s="1" t="s">
        <v>832</v>
      </c>
      <c r="K176" s="1" t="s">
        <v>4</v>
      </c>
      <c r="L176" s="5">
        <v>45532</v>
      </c>
      <c r="M176" s="11" t="s">
        <v>1275</v>
      </c>
      <c r="N176" s="11" t="str">
        <f t="shared" si="2"/>
        <v>051674</v>
      </c>
      <c r="O176" s="14">
        <v>45658</v>
      </c>
      <c r="P176" s="14"/>
      <c r="Q176" s="14"/>
    </row>
    <row r="177" spans="1:17" ht="10.199999999999999" customHeight="1" x14ac:dyDescent="0.25">
      <c r="A177" s="4" t="s">
        <v>877</v>
      </c>
      <c r="B177" s="4" t="s">
        <v>880</v>
      </c>
      <c r="C177" s="10" t="str">
        <f>MID(Tabela1[[#This Row],[Tributacao]],1,16)</f>
        <v>Simples Nacional</v>
      </c>
      <c r="D177" s="10" t="s">
        <v>1282</v>
      </c>
      <c r="E177" s="10">
        <v>0</v>
      </c>
      <c r="F177" s="4">
        <v>124113</v>
      </c>
      <c r="G177" s="1" t="s">
        <v>879</v>
      </c>
      <c r="H177" s="1" t="s">
        <v>228</v>
      </c>
      <c r="I177" s="1" t="s">
        <v>878</v>
      </c>
      <c r="J177" s="1" t="s">
        <v>3</v>
      </c>
      <c r="K177" s="1" t="s">
        <v>4</v>
      </c>
      <c r="L177" s="5">
        <v>45678</v>
      </c>
      <c r="M177" s="11" t="s">
        <v>1263</v>
      </c>
      <c r="N177" s="11" t="str">
        <f t="shared" si="2"/>
        <v>039007</v>
      </c>
      <c r="O177" s="14">
        <f>L177</f>
        <v>45678</v>
      </c>
      <c r="P177" s="14"/>
      <c r="Q177" s="14"/>
    </row>
    <row r="178" spans="1:17" ht="10.199999999999999" customHeight="1" x14ac:dyDescent="0.25">
      <c r="A178" s="4" t="s">
        <v>747</v>
      </c>
      <c r="B178" s="4" t="s">
        <v>751</v>
      </c>
      <c r="C178" s="10" t="str">
        <f>MID(Tabela1[[#This Row],[Tributacao]],1,16)</f>
        <v>Simples Nacional</v>
      </c>
      <c r="D178" s="10" t="s">
        <v>1282</v>
      </c>
      <c r="E178" s="10">
        <v>0</v>
      </c>
      <c r="F178" s="4">
        <v>112065</v>
      </c>
      <c r="G178" s="1" t="s">
        <v>749</v>
      </c>
      <c r="H178" s="1" t="s">
        <v>750</v>
      </c>
      <c r="I178" s="1" t="s">
        <v>249</v>
      </c>
      <c r="J178" s="1" t="s">
        <v>748</v>
      </c>
      <c r="K178" s="1" t="s">
        <v>4</v>
      </c>
      <c r="L178" s="5">
        <v>45210</v>
      </c>
      <c r="M178" s="11" t="s">
        <v>517</v>
      </c>
      <c r="N178" s="11" t="str">
        <f t="shared" si="2"/>
        <v>735111</v>
      </c>
      <c r="O178" s="14">
        <v>45658</v>
      </c>
      <c r="P178" s="14"/>
      <c r="Q178" s="14"/>
    </row>
    <row r="179" spans="1:17" ht="10.199999999999999" customHeight="1" x14ac:dyDescent="0.25">
      <c r="A179" s="4" t="s">
        <v>351</v>
      </c>
      <c r="B179" s="4" t="s">
        <v>354</v>
      </c>
      <c r="C179" s="10" t="str">
        <f>MID(Tabela1[[#This Row],[Tributacao]],1,16)</f>
        <v>Simples Nacional</v>
      </c>
      <c r="D179" s="10" t="s">
        <v>1282</v>
      </c>
      <c r="E179" s="10">
        <v>0</v>
      </c>
      <c r="F179" s="4">
        <v>86874</v>
      </c>
      <c r="G179" s="1" t="s">
        <v>3</v>
      </c>
      <c r="H179" s="1" t="s">
        <v>126</v>
      </c>
      <c r="I179" s="1" t="s">
        <v>352</v>
      </c>
      <c r="J179" s="1" t="s">
        <v>353</v>
      </c>
      <c r="K179" s="1" t="s">
        <v>4</v>
      </c>
      <c r="L179" s="5">
        <v>43328</v>
      </c>
      <c r="M179" s="11" t="s">
        <v>1192</v>
      </c>
      <c r="N179" s="11" t="str">
        <f t="shared" si="2"/>
        <v>876772</v>
      </c>
      <c r="O179" s="14">
        <v>45658</v>
      </c>
      <c r="P179" s="14"/>
      <c r="Q179" s="14"/>
    </row>
    <row r="180" spans="1:17" ht="10.199999999999999" customHeight="1" x14ac:dyDescent="0.25">
      <c r="A180" s="4" t="s">
        <v>274</v>
      </c>
      <c r="B180" s="4" t="s">
        <v>279</v>
      </c>
      <c r="C180" s="10" t="str">
        <f>MID(Tabela1[[#This Row],[Tributacao]],1,16)</f>
        <v>Simples Nacional</v>
      </c>
      <c r="D180" s="10" t="s">
        <v>1282</v>
      </c>
      <c r="E180" s="10">
        <v>0</v>
      </c>
      <c r="F180" s="4">
        <v>80479</v>
      </c>
      <c r="G180" s="1" t="s">
        <v>277</v>
      </c>
      <c r="H180" s="1" t="s">
        <v>278</v>
      </c>
      <c r="I180" s="1" t="s">
        <v>275</v>
      </c>
      <c r="J180" s="1" t="s">
        <v>276</v>
      </c>
      <c r="K180" s="1" t="s">
        <v>4</v>
      </c>
      <c r="L180" s="5">
        <v>42571</v>
      </c>
      <c r="M180" s="11" t="s">
        <v>1181</v>
      </c>
      <c r="N180" s="11" t="str">
        <f t="shared" si="2"/>
        <v>706157</v>
      </c>
      <c r="O180" s="14">
        <v>45658</v>
      </c>
      <c r="P180" s="14"/>
      <c r="Q180" s="14"/>
    </row>
    <row r="181" spans="1:17" ht="10.199999999999999" customHeight="1" x14ac:dyDescent="0.25">
      <c r="A181" s="4" t="s">
        <v>495</v>
      </c>
      <c r="B181" s="4" t="s">
        <v>498</v>
      </c>
      <c r="C181" s="10" t="str">
        <f>MID(Tabela1[[#This Row],[Tributacao]],1,16)</f>
        <v>Simples Nacional</v>
      </c>
      <c r="D181" s="10" t="s">
        <v>1282</v>
      </c>
      <c r="E181" s="10">
        <v>0</v>
      </c>
      <c r="F181" s="4">
        <v>99338</v>
      </c>
      <c r="G181" s="1" t="s">
        <v>3</v>
      </c>
      <c r="H181" s="1" t="s">
        <v>245</v>
      </c>
      <c r="I181" s="1" t="s">
        <v>496</v>
      </c>
      <c r="J181" s="1" t="s">
        <v>497</v>
      </c>
      <c r="K181" s="1" t="s">
        <v>4</v>
      </c>
      <c r="L181" s="5">
        <v>44419</v>
      </c>
      <c r="M181" s="11" t="s">
        <v>1214</v>
      </c>
      <c r="N181" s="11" t="str">
        <f t="shared" si="2"/>
        <v>035272</v>
      </c>
      <c r="O181" s="14">
        <v>45658</v>
      </c>
      <c r="P181" s="14"/>
      <c r="Q181" s="14"/>
    </row>
    <row r="182" spans="1:17" ht="10.199999999999999" customHeight="1" x14ac:dyDescent="0.25">
      <c r="A182" s="4" t="s">
        <v>144</v>
      </c>
      <c r="B182" s="4" t="s">
        <v>148</v>
      </c>
      <c r="C182" s="10" t="str">
        <f>MID(Tabela1[[#This Row],[Tributacao]],1,16)</f>
        <v>Simples Nacional</v>
      </c>
      <c r="D182" s="10" t="s">
        <v>1282</v>
      </c>
      <c r="E182" s="10">
        <v>0</v>
      </c>
      <c r="F182" s="4">
        <v>69488</v>
      </c>
      <c r="G182" s="1" t="s">
        <v>146</v>
      </c>
      <c r="H182" s="1" t="s">
        <v>147</v>
      </c>
      <c r="I182" s="1" t="s">
        <v>103</v>
      </c>
      <c r="J182" s="1" t="s">
        <v>145</v>
      </c>
      <c r="K182" s="1" t="s">
        <v>4</v>
      </c>
      <c r="L182" s="5">
        <v>41360</v>
      </c>
      <c r="M182" s="11" t="s">
        <v>1151</v>
      </c>
      <c r="N182" s="11" t="str">
        <f t="shared" si="2"/>
        <v>009433</v>
      </c>
      <c r="O182" s="14">
        <v>45658</v>
      </c>
      <c r="P182" s="14"/>
      <c r="Q182" s="14"/>
    </row>
    <row r="183" spans="1:17" ht="10.199999999999999" customHeight="1" x14ac:dyDescent="0.25">
      <c r="A183" s="4" t="s">
        <v>407</v>
      </c>
      <c r="B183" s="4" t="s">
        <v>410</v>
      </c>
      <c r="C183" s="10" t="str">
        <f>MID(Tabela1[[#This Row],[Tributacao]],1,16)</f>
        <v>Simples Nacional</v>
      </c>
      <c r="D183" s="10" t="s">
        <v>1282</v>
      </c>
      <c r="E183" s="10">
        <v>0</v>
      </c>
      <c r="F183" s="4">
        <v>91202</v>
      </c>
      <c r="G183" s="1" t="s">
        <v>3</v>
      </c>
      <c r="H183" s="1" t="s">
        <v>245</v>
      </c>
      <c r="I183" s="1" t="s">
        <v>408</v>
      </c>
      <c r="J183" s="1" t="s">
        <v>409</v>
      </c>
      <c r="K183" s="1" t="s">
        <v>4</v>
      </c>
      <c r="L183" s="5">
        <v>43703</v>
      </c>
      <c r="M183" s="11" t="s">
        <v>1199</v>
      </c>
      <c r="N183" s="11" t="str">
        <f t="shared" si="2"/>
        <v>037042</v>
      </c>
      <c r="O183" s="14">
        <v>45658</v>
      </c>
      <c r="P183" s="14"/>
      <c r="Q183" s="14"/>
    </row>
    <row r="184" spans="1:17" ht="10.199999999999999" customHeight="1" x14ac:dyDescent="0.25">
      <c r="A184" s="4" t="s">
        <v>620</v>
      </c>
      <c r="B184" s="4" t="s">
        <v>624</v>
      </c>
      <c r="C184" s="10" t="str">
        <f>MID(Tabela1[[#This Row],[Tributacao]],1,16)</f>
        <v>Simples Nacional</v>
      </c>
      <c r="D184" s="10" t="s">
        <v>1282</v>
      </c>
      <c r="E184" s="10">
        <v>0</v>
      </c>
      <c r="F184" s="4">
        <v>108246</v>
      </c>
      <c r="G184" s="1" t="s">
        <v>623</v>
      </c>
      <c r="H184" s="1" t="s">
        <v>118</v>
      </c>
      <c r="I184" s="1" t="s">
        <v>621</v>
      </c>
      <c r="J184" s="1" t="s">
        <v>622</v>
      </c>
      <c r="K184" s="1" t="s">
        <v>4</v>
      </c>
      <c r="L184" s="5">
        <v>44951</v>
      </c>
      <c r="M184" s="11" t="s">
        <v>1224</v>
      </c>
      <c r="N184" s="11" t="str">
        <f t="shared" si="2"/>
        <v>002321</v>
      </c>
      <c r="O184" s="14">
        <v>45658</v>
      </c>
      <c r="P184" s="14"/>
      <c r="Q184" s="14"/>
    </row>
    <row r="185" spans="1:17" ht="10.199999999999999" customHeight="1" x14ac:dyDescent="0.25">
      <c r="A185" s="4" t="s">
        <v>179</v>
      </c>
      <c r="B185" s="4" t="s">
        <v>184</v>
      </c>
      <c r="C185" s="10" t="str">
        <f>MID(Tabela1[[#This Row],[Tributacao]],1,16)</f>
        <v>Simples Nacional</v>
      </c>
      <c r="D185" s="10" t="s">
        <v>1282</v>
      </c>
      <c r="E185" s="10">
        <v>0</v>
      </c>
      <c r="F185" s="4">
        <v>66791</v>
      </c>
      <c r="G185" s="1" t="s">
        <v>182</v>
      </c>
      <c r="H185" s="1" t="s">
        <v>183</v>
      </c>
      <c r="I185" s="1" t="s">
        <v>180</v>
      </c>
      <c r="J185" s="1" t="s">
        <v>181</v>
      </c>
      <c r="K185" s="1" t="s">
        <v>4</v>
      </c>
      <c r="L185" s="5">
        <v>41074</v>
      </c>
      <c r="M185" s="11" t="s">
        <v>1142</v>
      </c>
      <c r="N185" s="11" t="str">
        <f t="shared" si="2"/>
        <v>801653</v>
      </c>
      <c r="O185" s="14">
        <v>45658</v>
      </c>
      <c r="P185" s="14"/>
      <c r="Q185" s="14"/>
    </row>
    <row r="186" spans="1:17" ht="10.199999999999999" customHeight="1" x14ac:dyDescent="0.25">
      <c r="A186" s="4" t="s">
        <v>98</v>
      </c>
      <c r="B186" s="4" t="s">
        <v>102</v>
      </c>
      <c r="C186" s="10" t="str">
        <f>MID(Tabela1[[#This Row],[Tributacao]],1,16)</f>
        <v>Simples Nacional</v>
      </c>
      <c r="D186" s="10" t="s">
        <v>1282</v>
      </c>
      <c r="E186" s="10" t="s">
        <v>1382</v>
      </c>
      <c r="F186" s="4">
        <v>65876</v>
      </c>
      <c r="G186" s="1" t="s">
        <v>101</v>
      </c>
      <c r="H186" s="1" t="s">
        <v>73</v>
      </c>
      <c r="I186" s="1" t="s">
        <v>99</v>
      </c>
      <c r="J186" s="1" t="s">
        <v>100</v>
      </c>
      <c r="K186" s="1" t="s">
        <v>4</v>
      </c>
      <c r="L186" s="5">
        <v>41046</v>
      </c>
      <c r="M186" s="11" t="s">
        <v>1162</v>
      </c>
      <c r="N186" s="11" t="str">
        <f t="shared" si="2"/>
        <v>895746</v>
      </c>
      <c r="O186" s="14">
        <v>45658</v>
      </c>
      <c r="P186" s="14"/>
      <c r="Q186" s="14"/>
    </row>
    <row r="187" spans="1:17" ht="10.199999999999999" customHeight="1" x14ac:dyDescent="0.25">
      <c r="A187" s="4" t="s">
        <v>462</v>
      </c>
      <c r="B187" s="4" t="s">
        <v>465</v>
      </c>
      <c r="C187" s="10" t="str">
        <f>MID(Tabela1[[#This Row],[Tributacao]],1,16)</f>
        <v>Simples Nacional</v>
      </c>
      <c r="D187" s="10" t="s">
        <v>1282</v>
      </c>
      <c r="E187" s="10" t="s">
        <v>1385</v>
      </c>
      <c r="F187" s="4">
        <v>94869</v>
      </c>
      <c r="G187" s="1" t="s">
        <v>464</v>
      </c>
      <c r="H187" s="1" t="s">
        <v>118</v>
      </c>
      <c r="I187" s="1" t="s">
        <v>221</v>
      </c>
      <c r="J187" s="1" t="s">
        <v>463</v>
      </c>
      <c r="K187" s="1" t="s">
        <v>4</v>
      </c>
      <c r="L187" s="5">
        <v>44061</v>
      </c>
      <c r="M187" s="11" t="s">
        <v>480</v>
      </c>
      <c r="N187" s="11" t="str">
        <f t="shared" si="2"/>
        <v>820329</v>
      </c>
      <c r="O187" s="14">
        <v>45658</v>
      </c>
      <c r="P187" s="14"/>
      <c r="Q187" s="14"/>
    </row>
    <row r="188" spans="1:17" ht="10.199999999999999" customHeight="1" x14ac:dyDescent="0.25">
      <c r="A188" s="4" t="s">
        <v>551</v>
      </c>
      <c r="B188" s="4" t="s">
        <v>555</v>
      </c>
      <c r="C188" s="10" t="str">
        <f>MID(Tabela1[[#This Row],[Tributacao]],1,16)</f>
        <v>Simples Nacional</v>
      </c>
      <c r="D188" s="10" t="s">
        <v>1282</v>
      </c>
      <c r="E188" s="10">
        <v>0</v>
      </c>
      <c r="F188" s="4">
        <v>103237</v>
      </c>
      <c r="G188" s="1" t="s">
        <v>553</v>
      </c>
      <c r="H188" s="1" t="s">
        <v>554</v>
      </c>
      <c r="I188" s="1" t="s">
        <v>552</v>
      </c>
      <c r="J188" s="1" t="s">
        <v>214</v>
      </c>
      <c r="K188" s="1" t="s">
        <v>4</v>
      </c>
      <c r="L188" s="5">
        <v>44662</v>
      </c>
      <c r="M188" s="11" t="s">
        <v>1175</v>
      </c>
      <c r="N188" s="11" t="str">
        <f t="shared" si="2"/>
        <v>824489</v>
      </c>
      <c r="O188" s="14">
        <v>45658</v>
      </c>
      <c r="P188" s="14"/>
      <c r="Q188" s="14"/>
    </row>
    <row r="189" spans="1:17" ht="10.199999999999999" customHeight="1" x14ac:dyDescent="0.25">
      <c r="A189" s="4" t="s">
        <v>1109</v>
      </c>
      <c r="B189" s="4" t="s">
        <v>1110</v>
      </c>
      <c r="C189" s="10" t="str">
        <f>MID(Tabela1[[#This Row],[Tributacao]],1,16)</f>
        <v>Simples Nacional</v>
      </c>
      <c r="D189" s="10" t="s">
        <v>1282</v>
      </c>
      <c r="E189" s="10">
        <v>0</v>
      </c>
      <c r="F189" s="4" t="s">
        <v>1387</v>
      </c>
      <c r="G189" s="1" t="s">
        <v>1112</v>
      </c>
      <c r="H189" s="1" t="s">
        <v>243</v>
      </c>
      <c r="I189" s="1" t="s">
        <v>1110</v>
      </c>
      <c r="J189" s="1" t="s">
        <v>1111</v>
      </c>
      <c r="K189" s="1" t="s">
        <v>4</v>
      </c>
      <c r="L189" s="5">
        <v>40232</v>
      </c>
      <c r="M189" s="11" t="s">
        <v>1146</v>
      </c>
      <c r="N189" s="11" t="str">
        <f t="shared" si="2"/>
        <v>767534</v>
      </c>
      <c r="O189" s="14">
        <v>45658</v>
      </c>
      <c r="P189" s="14"/>
      <c r="Q189" s="14"/>
    </row>
    <row r="190" spans="1:17" ht="10.199999999999999" customHeight="1" x14ac:dyDescent="0.25">
      <c r="A190" s="4" t="s">
        <v>200</v>
      </c>
      <c r="B190" s="4" t="s">
        <v>201</v>
      </c>
      <c r="C190" s="10" t="str">
        <f>MID(Tabela1[[#This Row],[Tributacao]],1,16)</f>
        <v>Simples Nacional</v>
      </c>
      <c r="D190" s="10" t="s">
        <v>1282</v>
      </c>
      <c r="E190" s="10">
        <v>0</v>
      </c>
      <c r="F190" s="4">
        <v>61274</v>
      </c>
      <c r="G190" s="1" t="s">
        <v>203</v>
      </c>
      <c r="H190" s="1" t="s">
        <v>204</v>
      </c>
      <c r="I190" s="1" t="s">
        <v>201</v>
      </c>
      <c r="J190" s="1" t="s">
        <v>202</v>
      </c>
      <c r="K190" s="1" t="s">
        <v>4</v>
      </c>
      <c r="L190" s="5">
        <v>40235</v>
      </c>
      <c r="M190" s="11" t="s">
        <v>1170</v>
      </c>
      <c r="N190" s="11" t="str">
        <f t="shared" si="2"/>
        <v>557084</v>
      </c>
      <c r="O190" s="14">
        <v>45658</v>
      </c>
      <c r="P190" s="14"/>
      <c r="Q190" s="14"/>
    </row>
    <row r="191" spans="1:17" ht="10.199999999999999" customHeight="1" x14ac:dyDescent="0.25">
      <c r="A191" s="4" t="s">
        <v>1023</v>
      </c>
      <c r="B191" s="4" t="s">
        <v>1025</v>
      </c>
      <c r="C191" s="10" t="str">
        <f>MID(Tabela1[[#This Row],[Tributacao]],1,16)</f>
        <v>Simples Nacional</v>
      </c>
      <c r="D191" s="10" t="s">
        <v>1282</v>
      </c>
      <c r="E191" s="10">
        <v>0</v>
      </c>
      <c r="F191" s="4">
        <v>54455</v>
      </c>
      <c r="G191" s="1" t="s">
        <v>1024</v>
      </c>
      <c r="H191" s="1" t="s">
        <v>380</v>
      </c>
      <c r="I191" s="1" t="s">
        <v>205</v>
      </c>
      <c r="J191" s="1" t="s">
        <v>5</v>
      </c>
      <c r="K191" s="1" t="s">
        <v>4</v>
      </c>
      <c r="L191" s="5">
        <v>38626</v>
      </c>
      <c r="M191" s="11" t="s">
        <v>1129</v>
      </c>
      <c r="N191" s="11" t="str">
        <f t="shared" si="2"/>
        <v>818439</v>
      </c>
      <c r="O191" s="14">
        <v>45658</v>
      </c>
      <c r="P191" s="14"/>
      <c r="Q191" s="14"/>
    </row>
    <row r="192" spans="1:17" ht="10.199999999999999" customHeight="1" x14ac:dyDescent="0.25">
      <c r="A192" s="4" t="s">
        <v>578</v>
      </c>
      <c r="B192" s="4" t="s">
        <v>581</v>
      </c>
      <c r="C192" s="10" t="str">
        <f>MID(Tabela1[[#This Row],[Tributacao]],1,16)</f>
        <v>Simples Nacional</v>
      </c>
      <c r="D192" s="10" t="s">
        <v>1282</v>
      </c>
      <c r="E192" s="10">
        <v>0</v>
      </c>
      <c r="F192" s="4">
        <v>104569</v>
      </c>
      <c r="G192" s="1" t="s">
        <v>579</v>
      </c>
      <c r="H192" s="1" t="s">
        <v>580</v>
      </c>
      <c r="I192" s="1" t="s">
        <v>383</v>
      </c>
      <c r="J192" s="1" t="s">
        <v>384</v>
      </c>
      <c r="K192" s="1" t="s">
        <v>4</v>
      </c>
      <c r="L192" s="5">
        <v>44736</v>
      </c>
      <c r="M192" s="11" t="s">
        <v>1195</v>
      </c>
      <c r="N192" s="11" t="str">
        <f t="shared" si="2"/>
        <v>425451</v>
      </c>
      <c r="O192" s="14">
        <v>45658</v>
      </c>
      <c r="P192" s="14"/>
      <c r="Q192" s="14"/>
    </row>
    <row r="193" spans="1:17" ht="10.199999999999999" customHeight="1" x14ac:dyDescent="0.25">
      <c r="A193" s="4" t="s">
        <v>239</v>
      </c>
      <c r="B193" s="4" t="s">
        <v>244</v>
      </c>
      <c r="C193" s="10" t="str">
        <f>MID(Tabela1[[#This Row],[Tributacao]],1,16)</f>
        <v>Simples Nacional</v>
      </c>
      <c r="D193" s="10" t="s">
        <v>1282</v>
      </c>
      <c r="E193" s="10" t="s">
        <v>1393</v>
      </c>
      <c r="F193" s="4">
        <v>77673</v>
      </c>
      <c r="G193" s="1" t="s">
        <v>242</v>
      </c>
      <c r="H193" s="1" t="s">
        <v>243</v>
      </c>
      <c r="I193" s="1" t="s">
        <v>240</v>
      </c>
      <c r="J193" s="1" t="s">
        <v>241</v>
      </c>
      <c r="K193" s="1" t="s">
        <v>4</v>
      </c>
      <c r="L193" s="5">
        <v>40863</v>
      </c>
      <c r="M193" s="11" t="s">
        <v>1194</v>
      </c>
      <c r="N193" s="11" t="str">
        <f t="shared" si="2"/>
        <v>839268</v>
      </c>
      <c r="O193" s="14">
        <v>45658</v>
      </c>
      <c r="P193" s="14"/>
      <c r="Q193" s="14"/>
    </row>
    <row r="194" spans="1:17" ht="10.199999999999999" customHeight="1" x14ac:dyDescent="0.25">
      <c r="A194" s="4" t="s">
        <v>59</v>
      </c>
      <c r="B194" s="4" t="s">
        <v>64</v>
      </c>
      <c r="C194" s="10" t="str">
        <f>MID(Tabela1[[#This Row],[Tributacao]],1,16)</f>
        <v>Simples Nacional</v>
      </c>
      <c r="D194" s="10" t="s">
        <v>1282</v>
      </c>
      <c r="E194" s="10">
        <v>0</v>
      </c>
      <c r="F194" s="4">
        <v>64177</v>
      </c>
      <c r="G194" s="1" t="s">
        <v>62</v>
      </c>
      <c r="H194" s="1" t="s">
        <v>63</v>
      </c>
      <c r="I194" s="1" t="s">
        <v>60</v>
      </c>
      <c r="J194" s="1" t="s">
        <v>61</v>
      </c>
      <c r="K194" s="1" t="s">
        <v>4</v>
      </c>
      <c r="L194" s="5">
        <v>40728</v>
      </c>
      <c r="M194" s="11" t="s">
        <v>1137</v>
      </c>
      <c r="N194" s="11" t="str">
        <f t="shared" si="2"/>
        <v>279195</v>
      </c>
      <c r="O194" s="14">
        <v>45658</v>
      </c>
      <c r="P194" s="14"/>
      <c r="Q194" s="14"/>
    </row>
    <row r="195" spans="1:17" ht="10.199999999999999" customHeight="1" x14ac:dyDescent="0.25">
      <c r="A195" s="4" t="s">
        <v>1080</v>
      </c>
      <c r="B195" s="4" t="s">
        <v>1083</v>
      </c>
      <c r="C195" s="10" t="str">
        <f>MID(Tabela1[[#This Row],[Tributacao]],1,16)</f>
        <v>Simples Nacional</v>
      </c>
      <c r="D195" s="10" t="s">
        <v>1282</v>
      </c>
      <c r="E195" s="10">
        <v>0</v>
      </c>
      <c r="F195" s="4">
        <v>49434</v>
      </c>
      <c r="G195" s="1" t="s">
        <v>1081</v>
      </c>
      <c r="H195" s="1" t="s">
        <v>1082</v>
      </c>
      <c r="I195" s="1" t="s">
        <v>1027</v>
      </c>
      <c r="J195" s="1" t="s">
        <v>1028</v>
      </c>
      <c r="K195" s="1" t="s">
        <v>4</v>
      </c>
      <c r="L195" s="5">
        <v>39776</v>
      </c>
      <c r="M195" s="11" t="s">
        <v>1127</v>
      </c>
      <c r="N195" s="11" t="str">
        <f t="shared" ref="N195:N258" si="3">MID(M195,1,6)</f>
        <v>996758</v>
      </c>
      <c r="O195" s="14">
        <v>45658</v>
      </c>
      <c r="P195" s="14"/>
      <c r="Q195" s="14"/>
    </row>
    <row r="196" spans="1:17" ht="10.199999999999999" customHeight="1" x14ac:dyDescent="0.25">
      <c r="A196" s="4" t="s">
        <v>718</v>
      </c>
      <c r="B196" s="4" t="s">
        <v>722</v>
      </c>
      <c r="C196" s="10" t="str">
        <f>MID(Tabela1[[#This Row],[Tributacao]],1,16)</f>
        <v>Simples Nacional</v>
      </c>
      <c r="D196" s="10" t="s">
        <v>1282</v>
      </c>
      <c r="E196" s="10">
        <v>0</v>
      </c>
      <c r="F196" s="4">
        <v>111256</v>
      </c>
      <c r="G196" s="1" t="s">
        <v>721</v>
      </c>
      <c r="H196" s="1" t="s">
        <v>348</v>
      </c>
      <c r="I196" s="1" t="s">
        <v>719</v>
      </c>
      <c r="J196" s="1" t="s">
        <v>720</v>
      </c>
      <c r="K196" s="1" t="s">
        <v>4</v>
      </c>
      <c r="L196" s="5">
        <v>45147</v>
      </c>
      <c r="M196" s="11" t="s">
        <v>1240</v>
      </c>
      <c r="N196" s="11" t="str">
        <f t="shared" si="3"/>
        <v>276744</v>
      </c>
      <c r="O196" s="14">
        <v>45658</v>
      </c>
      <c r="P196" s="14"/>
      <c r="Q196" s="14"/>
    </row>
    <row r="197" spans="1:17" ht="10.199999999999999" customHeight="1" x14ac:dyDescent="0.25">
      <c r="A197" s="4" t="s">
        <v>233</v>
      </c>
      <c r="B197" s="4" t="s">
        <v>237</v>
      </c>
      <c r="C197" s="10" t="str">
        <f>MID(Tabela1[[#This Row],[Tributacao]],1,16)</f>
        <v>Simples Nacional</v>
      </c>
      <c r="D197" s="10" t="s">
        <v>1282</v>
      </c>
      <c r="E197" s="10" t="s">
        <v>1396</v>
      </c>
      <c r="F197" s="4">
        <v>27896</v>
      </c>
      <c r="G197" s="1" t="s">
        <v>236</v>
      </c>
      <c r="H197" s="1" t="s">
        <v>206</v>
      </c>
      <c r="I197" s="1" t="s">
        <v>234</v>
      </c>
      <c r="J197" s="1" t="s">
        <v>235</v>
      </c>
      <c r="K197" s="1" t="s">
        <v>4</v>
      </c>
      <c r="L197" s="5">
        <v>33340</v>
      </c>
      <c r="M197" s="11" t="s">
        <v>1176</v>
      </c>
      <c r="N197" s="11" t="str">
        <f t="shared" si="3"/>
        <v>801711</v>
      </c>
      <c r="O197" s="14">
        <v>45658</v>
      </c>
      <c r="P197" s="14"/>
      <c r="Q197" s="14"/>
    </row>
    <row r="198" spans="1:17" ht="10.199999999999999" customHeight="1" x14ac:dyDescent="0.25">
      <c r="A198" s="4" t="s">
        <v>393</v>
      </c>
      <c r="B198" s="4" t="s">
        <v>395</v>
      </c>
      <c r="C198" s="10" t="str">
        <f>MID(Tabela1[[#This Row],[Tributacao]],1,16)</f>
        <v>Simples Nacional</v>
      </c>
      <c r="D198" s="10" t="s">
        <v>1282</v>
      </c>
      <c r="E198" s="10">
        <v>0</v>
      </c>
      <c r="F198" s="4">
        <v>90740</v>
      </c>
      <c r="G198" s="1" t="s">
        <v>394</v>
      </c>
      <c r="H198" s="1" t="s">
        <v>247</v>
      </c>
      <c r="I198" s="1" t="s">
        <v>230</v>
      </c>
      <c r="J198" s="1" t="s">
        <v>164</v>
      </c>
      <c r="K198" s="1" t="s">
        <v>4</v>
      </c>
      <c r="L198" s="5">
        <v>43644</v>
      </c>
      <c r="M198" s="11" t="s">
        <v>229</v>
      </c>
      <c r="N198" s="11" t="str">
        <f t="shared" si="3"/>
        <v>426602</v>
      </c>
      <c r="O198" s="14">
        <v>45658</v>
      </c>
      <c r="P198" s="14"/>
      <c r="Q198" s="14"/>
    </row>
    <row r="199" spans="1:17" ht="10.199999999999999" customHeight="1" x14ac:dyDescent="0.25">
      <c r="A199" s="4" t="s">
        <v>1053</v>
      </c>
      <c r="B199" s="4" t="s">
        <v>1055</v>
      </c>
      <c r="C199" s="10" t="str">
        <f>MID(Tabela1[[#This Row],[Tributacao]],1,16)</f>
        <v>Simples Nacional</v>
      </c>
      <c r="D199" s="10" t="s">
        <v>1282</v>
      </c>
      <c r="E199" s="10" t="s">
        <v>1398</v>
      </c>
      <c r="F199" s="4">
        <v>33700</v>
      </c>
      <c r="G199" s="1" t="s">
        <v>1054</v>
      </c>
      <c r="H199" s="1" t="s">
        <v>1051</v>
      </c>
      <c r="I199" s="1" t="s">
        <v>178</v>
      </c>
      <c r="J199" s="1" t="s">
        <v>1049</v>
      </c>
      <c r="K199" s="1" t="s">
        <v>4</v>
      </c>
      <c r="L199" s="5">
        <v>32420</v>
      </c>
      <c r="M199" s="11" t="s">
        <v>1132</v>
      </c>
      <c r="N199" s="11" t="str">
        <f t="shared" si="3"/>
        <v>434605</v>
      </c>
      <c r="O199" s="14">
        <v>45658</v>
      </c>
      <c r="P199" s="14"/>
      <c r="Q199" s="14"/>
    </row>
    <row r="200" spans="1:17" ht="10.199999999999999" customHeight="1" x14ac:dyDescent="0.25">
      <c r="A200" s="4" t="s">
        <v>1048</v>
      </c>
      <c r="B200" s="4" t="s">
        <v>1052</v>
      </c>
      <c r="C200" s="10" t="str">
        <f>MID(Tabela1[[#This Row],[Tributacao]],1,16)</f>
        <v>Simples Nacional</v>
      </c>
      <c r="D200" s="10" t="s">
        <v>1282</v>
      </c>
      <c r="E200" s="10" t="s">
        <v>1399</v>
      </c>
      <c r="F200" s="4">
        <v>24556</v>
      </c>
      <c r="G200" s="1" t="s">
        <v>1050</v>
      </c>
      <c r="H200" s="1" t="s">
        <v>1051</v>
      </c>
      <c r="I200" s="1" t="s">
        <v>178</v>
      </c>
      <c r="J200" s="1" t="s">
        <v>1049</v>
      </c>
      <c r="K200" s="1" t="s">
        <v>4</v>
      </c>
      <c r="L200" s="5">
        <v>31436</v>
      </c>
      <c r="M200" s="11" t="s">
        <v>1132</v>
      </c>
      <c r="N200" s="11" t="str">
        <f t="shared" si="3"/>
        <v>434605</v>
      </c>
      <c r="O200" s="14">
        <v>45658</v>
      </c>
      <c r="P200" s="14"/>
      <c r="Q200" s="14"/>
    </row>
    <row r="201" spans="1:17" ht="10.199999999999999" customHeight="1" x14ac:dyDescent="0.25">
      <c r="A201" s="4" t="s">
        <v>541</v>
      </c>
      <c r="B201" s="4" t="s">
        <v>545</v>
      </c>
      <c r="C201" s="10" t="str">
        <f>MID(Tabela1[[#This Row],[Tributacao]],1,16)</f>
        <v>Simples Nacional</v>
      </c>
      <c r="D201" s="10" t="s">
        <v>1282</v>
      </c>
      <c r="E201" s="10">
        <v>0</v>
      </c>
      <c r="F201" s="4">
        <v>103454</v>
      </c>
      <c r="G201" s="1" t="s">
        <v>544</v>
      </c>
      <c r="H201" s="1" t="s">
        <v>175</v>
      </c>
      <c r="I201" s="1" t="s">
        <v>542</v>
      </c>
      <c r="J201" s="1" t="s">
        <v>543</v>
      </c>
      <c r="K201" s="1" t="s">
        <v>4</v>
      </c>
      <c r="L201" s="5">
        <v>44669</v>
      </c>
      <c r="M201" s="11">
        <v>39986179149</v>
      </c>
      <c r="N201" s="11" t="str">
        <f t="shared" si="3"/>
        <v>399861</v>
      </c>
      <c r="O201" s="14">
        <v>45658</v>
      </c>
      <c r="P201" s="14"/>
      <c r="Q201" s="14"/>
    </row>
    <row r="202" spans="1:17" ht="10.199999999999999" customHeight="1" x14ac:dyDescent="0.25">
      <c r="A202" s="4" t="s">
        <v>811</v>
      </c>
      <c r="B202" s="4" t="s">
        <v>815</v>
      </c>
      <c r="C202" s="10" t="str">
        <f>MID(Tabela1[[#This Row],[Tributacao]],1,16)</f>
        <v>Simples Nacional</v>
      </c>
      <c r="D202" s="10" t="s">
        <v>1282</v>
      </c>
      <c r="E202" s="10">
        <v>0</v>
      </c>
      <c r="F202" s="4">
        <v>114996</v>
      </c>
      <c r="G202" s="1" t="s">
        <v>813</v>
      </c>
      <c r="H202" s="1" t="s">
        <v>814</v>
      </c>
      <c r="I202" s="1" t="s">
        <v>812</v>
      </c>
      <c r="J202" s="1" t="s">
        <v>168</v>
      </c>
      <c r="K202" s="1" t="s">
        <v>4</v>
      </c>
      <c r="L202" s="5">
        <v>45453</v>
      </c>
      <c r="M202" s="11" t="s">
        <v>1167</v>
      </c>
      <c r="N202" s="11" t="str">
        <f t="shared" si="3"/>
        <v>846687</v>
      </c>
      <c r="O202" s="14">
        <v>45658</v>
      </c>
      <c r="P202" s="14"/>
      <c r="Q202" s="14"/>
    </row>
    <row r="203" spans="1:17" ht="10.199999999999999" customHeight="1" x14ac:dyDescent="0.25">
      <c r="A203" s="4" t="s">
        <v>188</v>
      </c>
      <c r="B203" s="4" t="s">
        <v>192</v>
      </c>
      <c r="C203" s="10" t="str">
        <f>MID(Tabela1[[#This Row],[Tributacao]],1,16)</f>
        <v>Simples Nacional</v>
      </c>
      <c r="D203" s="10" t="s">
        <v>1282</v>
      </c>
      <c r="E203" s="10">
        <v>0</v>
      </c>
      <c r="F203" s="4">
        <v>61967</v>
      </c>
      <c r="G203" s="1" t="s">
        <v>3</v>
      </c>
      <c r="H203" s="1" t="s">
        <v>191</v>
      </c>
      <c r="I203" s="1" t="s">
        <v>189</v>
      </c>
      <c r="J203" s="1" t="s">
        <v>190</v>
      </c>
      <c r="K203" s="1" t="s">
        <v>4</v>
      </c>
      <c r="L203" s="5">
        <v>40408</v>
      </c>
      <c r="M203" s="11" t="s">
        <v>1169</v>
      </c>
      <c r="N203" s="11" t="str">
        <f t="shared" si="3"/>
        <v>885994</v>
      </c>
      <c r="O203" s="14">
        <v>45658</v>
      </c>
      <c r="P203" s="14"/>
      <c r="Q203" s="14"/>
    </row>
    <row r="204" spans="1:17" ht="10.199999999999999" customHeight="1" x14ac:dyDescent="0.25">
      <c r="A204" s="4" t="s">
        <v>475</v>
      </c>
      <c r="B204" s="4" t="s">
        <v>478</v>
      </c>
      <c r="C204" s="10" t="str">
        <f>MID(Tabela1[[#This Row],[Tributacao]],1,16)</f>
        <v>Simples Nacional</v>
      </c>
      <c r="D204" s="10" t="s">
        <v>1282</v>
      </c>
      <c r="E204" s="10">
        <v>0</v>
      </c>
      <c r="F204" s="4">
        <v>78547</v>
      </c>
      <c r="G204" s="1" t="s">
        <v>477</v>
      </c>
      <c r="H204" s="1" t="s">
        <v>175</v>
      </c>
      <c r="I204" s="1" t="s">
        <v>177</v>
      </c>
      <c r="J204" s="1" t="s">
        <v>476</v>
      </c>
      <c r="K204" s="1" t="s">
        <v>4</v>
      </c>
      <c r="L204" s="5">
        <v>44138</v>
      </c>
      <c r="M204" s="11" t="s">
        <v>185</v>
      </c>
      <c r="N204" s="11" t="str">
        <f t="shared" si="3"/>
        <v>034335</v>
      </c>
      <c r="O204" s="14">
        <v>45658</v>
      </c>
      <c r="P204" s="14"/>
      <c r="Q204" s="14"/>
    </row>
    <row r="205" spans="1:17" ht="10.199999999999999" customHeight="1" x14ac:dyDescent="0.25">
      <c r="A205" s="4" t="s">
        <v>866</v>
      </c>
      <c r="B205" s="4" t="s">
        <v>868</v>
      </c>
      <c r="C205" s="10" t="str">
        <f>MID(Tabela1[[#This Row],[Tributacao]],1,16)</f>
        <v>Simples Nacional</v>
      </c>
      <c r="D205" s="10" t="s">
        <v>1282</v>
      </c>
      <c r="E205" s="10">
        <v>0</v>
      </c>
      <c r="F205" s="4">
        <v>123942</v>
      </c>
      <c r="G205" s="1" t="s">
        <v>867</v>
      </c>
      <c r="H205" s="1" t="s">
        <v>206</v>
      </c>
      <c r="I205" s="1" t="s">
        <v>365</v>
      </c>
      <c r="J205" s="1" t="s">
        <v>3</v>
      </c>
      <c r="K205" s="1" t="s">
        <v>4</v>
      </c>
      <c r="L205" s="5">
        <v>45665</v>
      </c>
      <c r="M205" s="11" t="s">
        <v>1200</v>
      </c>
      <c r="N205" s="11" t="str">
        <f t="shared" si="3"/>
        <v>789418</v>
      </c>
      <c r="O205" s="14">
        <f>L205</f>
        <v>45665</v>
      </c>
      <c r="P205" s="14"/>
      <c r="Q205" s="14"/>
    </row>
    <row r="206" spans="1:17" ht="10.199999999999999" customHeight="1" x14ac:dyDescent="0.25">
      <c r="A206" s="4" t="s">
        <v>1089</v>
      </c>
      <c r="B206" s="4" t="s">
        <v>1094</v>
      </c>
      <c r="C206" s="10" t="str">
        <f>MID(Tabela1[[#This Row],[Tributacao]],1,16)</f>
        <v>Simples Nacional</v>
      </c>
      <c r="D206" s="10" t="s">
        <v>1282</v>
      </c>
      <c r="E206" s="10">
        <v>0</v>
      </c>
      <c r="F206" s="4">
        <v>59412</v>
      </c>
      <c r="G206" s="1" t="s">
        <v>1092</v>
      </c>
      <c r="H206" s="1" t="s">
        <v>1093</v>
      </c>
      <c r="I206" s="1" t="s">
        <v>1090</v>
      </c>
      <c r="J206" s="1" t="s">
        <v>1091</v>
      </c>
      <c r="K206" s="1" t="s">
        <v>4</v>
      </c>
      <c r="L206" s="5">
        <v>39906</v>
      </c>
      <c r="M206" s="11" t="s">
        <v>1160</v>
      </c>
      <c r="N206" s="11" t="str">
        <f t="shared" si="3"/>
        <v>479936</v>
      </c>
      <c r="O206" s="14">
        <v>45658</v>
      </c>
      <c r="P206" s="14"/>
      <c r="Q206" s="14"/>
    </row>
    <row r="207" spans="1:17" ht="10.199999999999999" customHeight="1" x14ac:dyDescent="0.25">
      <c r="A207" s="4" t="s">
        <v>536</v>
      </c>
      <c r="B207" s="4" t="s">
        <v>540</v>
      </c>
      <c r="C207" s="10" t="str">
        <f>MID(Tabela1[[#This Row],[Tributacao]],1,16)</f>
        <v>Simples Nacional</v>
      </c>
      <c r="D207" s="10" t="s">
        <v>1282</v>
      </c>
      <c r="E207" s="10">
        <v>0</v>
      </c>
      <c r="F207" s="4">
        <v>11825780018</v>
      </c>
      <c r="G207" s="1" t="s">
        <v>3</v>
      </c>
      <c r="H207" s="1" t="s">
        <v>126</v>
      </c>
      <c r="I207" s="1" t="s">
        <v>537</v>
      </c>
      <c r="J207" s="1" t="s">
        <v>538</v>
      </c>
      <c r="K207" s="1" t="s">
        <v>539</v>
      </c>
      <c r="L207" s="5">
        <v>43749</v>
      </c>
      <c r="M207" s="11">
        <v>11908730609</v>
      </c>
      <c r="N207" s="11" t="str">
        <f t="shared" si="3"/>
        <v>119087</v>
      </c>
      <c r="O207" s="14">
        <v>45658</v>
      </c>
      <c r="P207" s="14"/>
      <c r="Q207" s="14"/>
    </row>
    <row r="208" spans="1:17" ht="10.199999999999999" customHeight="1" x14ac:dyDescent="0.25">
      <c r="A208" s="4" t="s">
        <v>881</v>
      </c>
      <c r="B208" s="4" t="s">
        <v>885</v>
      </c>
      <c r="C208" s="10" t="str">
        <f>MID(Tabela1[[#This Row],[Tributacao]],1,16)</f>
        <v>Simples Nacional</v>
      </c>
      <c r="D208" s="10" t="s">
        <v>1282</v>
      </c>
      <c r="E208" s="10">
        <v>0</v>
      </c>
      <c r="F208" s="4">
        <v>124360</v>
      </c>
      <c r="G208" s="1" t="s">
        <v>884</v>
      </c>
      <c r="H208" s="1" t="s">
        <v>381</v>
      </c>
      <c r="I208" s="1" t="s">
        <v>882</v>
      </c>
      <c r="J208" s="1" t="s">
        <v>883</v>
      </c>
      <c r="K208" s="1" t="s">
        <v>4</v>
      </c>
      <c r="L208" s="5">
        <v>45673</v>
      </c>
      <c r="M208" s="11" t="s">
        <v>1264</v>
      </c>
      <c r="N208" s="11" t="str">
        <f t="shared" si="3"/>
        <v>035289</v>
      </c>
      <c r="O208" s="14">
        <f>L208</f>
        <v>45673</v>
      </c>
      <c r="P208" s="14"/>
      <c r="Q208" s="14"/>
    </row>
    <row r="209" spans="1:17" ht="10.199999999999999" customHeight="1" x14ac:dyDescent="0.25">
      <c r="A209" s="4" t="s">
        <v>847</v>
      </c>
      <c r="B209" s="4" t="s">
        <v>851</v>
      </c>
      <c r="C209" s="10" t="str">
        <f>MID(Tabela1[[#This Row],[Tributacao]],1,16)</f>
        <v>Simples Nacional</v>
      </c>
      <c r="D209" s="10" t="s">
        <v>1282</v>
      </c>
      <c r="E209" s="10" t="s">
        <v>1408</v>
      </c>
      <c r="F209" s="4">
        <v>123387</v>
      </c>
      <c r="G209" s="1" t="s">
        <v>850</v>
      </c>
      <c r="H209" s="1" t="s">
        <v>28</v>
      </c>
      <c r="I209" s="1" t="s">
        <v>848</v>
      </c>
      <c r="J209" s="1" t="s">
        <v>849</v>
      </c>
      <c r="K209" s="1" t="s">
        <v>4</v>
      </c>
      <c r="L209" s="5">
        <v>45602</v>
      </c>
      <c r="M209" s="11" t="s">
        <v>1258</v>
      </c>
      <c r="N209" s="11" t="str">
        <f t="shared" si="3"/>
        <v>816672</v>
      </c>
      <c r="O209" s="14">
        <v>45658</v>
      </c>
      <c r="P209" s="14"/>
      <c r="Q209" s="14"/>
    </row>
    <row r="210" spans="1:17" ht="10.199999999999999" customHeight="1" x14ac:dyDescent="0.25">
      <c r="A210" s="4" t="s">
        <v>54</v>
      </c>
      <c r="B210" s="4" t="s">
        <v>58</v>
      </c>
      <c r="C210" s="10" t="str">
        <f>MID(Tabela1[[#This Row],[Tributacao]],1,16)</f>
        <v>Simples Nacional</v>
      </c>
      <c r="D210" s="10" t="s">
        <v>1282</v>
      </c>
      <c r="E210" s="10">
        <v>0</v>
      </c>
      <c r="F210" s="4">
        <v>65178</v>
      </c>
      <c r="G210" s="1" t="s">
        <v>57</v>
      </c>
      <c r="H210" s="1" t="s">
        <v>36</v>
      </c>
      <c r="I210" s="1" t="s">
        <v>55</v>
      </c>
      <c r="J210" s="1" t="s">
        <v>56</v>
      </c>
      <c r="K210" s="1" t="s">
        <v>4</v>
      </c>
      <c r="L210" s="5">
        <v>40737</v>
      </c>
      <c r="M210" s="11" t="s">
        <v>1155</v>
      </c>
      <c r="N210" s="11" t="str">
        <f t="shared" si="3"/>
        <v>711521</v>
      </c>
      <c r="O210" s="14">
        <v>45658</v>
      </c>
      <c r="P210" s="14"/>
      <c r="Q210" s="14"/>
    </row>
    <row r="211" spans="1:17" ht="10.199999999999999" customHeight="1" x14ac:dyDescent="0.25">
      <c r="A211" s="4" t="s">
        <v>1095</v>
      </c>
      <c r="B211" s="4" t="s">
        <v>1099</v>
      </c>
      <c r="C211" s="10" t="str">
        <f>MID(Tabela1[[#This Row],[Tributacao]],1,16)</f>
        <v>Simples Nacional</v>
      </c>
      <c r="D211" s="10" t="s">
        <v>1282</v>
      </c>
      <c r="E211" s="10">
        <v>0</v>
      </c>
      <c r="F211" s="4">
        <v>60070</v>
      </c>
      <c r="G211" s="1" t="s">
        <v>1098</v>
      </c>
      <c r="H211" s="1" t="s">
        <v>36</v>
      </c>
      <c r="I211" s="1" t="s">
        <v>1096</v>
      </c>
      <c r="J211" s="1" t="s">
        <v>1097</v>
      </c>
      <c r="K211" s="1" t="s">
        <v>4</v>
      </c>
      <c r="L211" s="5">
        <v>39989</v>
      </c>
      <c r="M211" s="11" t="s">
        <v>1134</v>
      </c>
      <c r="N211" s="11" t="str">
        <f t="shared" si="3"/>
        <v>946648</v>
      </c>
      <c r="O211" s="14">
        <v>45658</v>
      </c>
      <c r="P211" s="14"/>
      <c r="Q211" s="14"/>
    </row>
    <row r="212" spans="1:17" ht="10.199999999999999" customHeight="1" x14ac:dyDescent="0.25">
      <c r="A212" s="4" t="s">
        <v>688</v>
      </c>
      <c r="B212" s="4" t="s">
        <v>692</v>
      </c>
      <c r="C212" s="10" t="str">
        <f>MID(Tabela1[[#This Row],[Tributacao]],1,16)</f>
        <v>Simples Nacional</v>
      </c>
      <c r="D212" s="10" t="s">
        <v>1282</v>
      </c>
      <c r="E212" s="10">
        <v>0</v>
      </c>
      <c r="F212" s="4">
        <v>110265</v>
      </c>
      <c r="G212" s="1" t="s">
        <v>691</v>
      </c>
      <c r="H212" s="1" t="s">
        <v>206</v>
      </c>
      <c r="I212" s="1" t="s">
        <v>689</v>
      </c>
      <c r="J212" s="1" t="s">
        <v>690</v>
      </c>
      <c r="K212" s="1" t="s">
        <v>4</v>
      </c>
      <c r="L212" s="5">
        <v>45079</v>
      </c>
      <c r="M212" s="11" t="s">
        <v>1235</v>
      </c>
      <c r="N212" s="11" t="str">
        <f t="shared" si="3"/>
        <v>702323</v>
      </c>
      <c r="O212" s="14">
        <v>45658</v>
      </c>
      <c r="P212" s="14"/>
      <c r="Q212" s="14"/>
    </row>
    <row r="213" spans="1:17" ht="10.199999999999999" customHeight="1" x14ac:dyDescent="0.25">
      <c r="A213" s="4" t="s">
        <v>816</v>
      </c>
      <c r="B213" s="4" t="s">
        <v>820</v>
      </c>
      <c r="C213" s="10" t="str">
        <f>MID(Tabela1[[#This Row],[Tributacao]],1,16)</f>
        <v>Simples Nacional</v>
      </c>
      <c r="D213" s="10" t="s">
        <v>1282</v>
      </c>
      <c r="E213" s="10">
        <v>0</v>
      </c>
      <c r="F213" s="4">
        <v>115348</v>
      </c>
      <c r="G213" s="1" t="s">
        <v>819</v>
      </c>
      <c r="H213" s="1" t="s">
        <v>331</v>
      </c>
      <c r="I213" s="1" t="s">
        <v>817</v>
      </c>
      <c r="J213" s="1" t="s">
        <v>818</v>
      </c>
      <c r="K213" s="1" t="s">
        <v>4</v>
      </c>
      <c r="L213" s="5">
        <v>45481</v>
      </c>
      <c r="M213" s="11" t="s">
        <v>1255</v>
      </c>
      <c r="N213" s="11" t="str">
        <f t="shared" si="3"/>
        <v>254813</v>
      </c>
      <c r="O213" s="14">
        <v>45658</v>
      </c>
      <c r="P213" s="14"/>
      <c r="Q213" s="14"/>
    </row>
    <row r="214" spans="1:17" ht="10.199999999999999" customHeight="1" x14ac:dyDescent="0.25">
      <c r="A214" s="4" t="s">
        <v>685</v>
      </c>
      <c r="B214" s="4" t="s">
        <v>687</v>
      </c>
      <c r="C214" s="10" t="str">
        <f>MID(Tabela1[[#This Row],[Tributacao]],1,16)</f>
        <v>Simples Nacional</v>
      </c>
      <c r="D214" s="10" t="s">
        <v>1282</v>
      </c>
      <c r="E214" s="10">
        <v>0</v>
      </c>
      <c r="F214" s="4">
        <v>110259</v>
      </c>
      <c r="G214" s="1" t="s">
        <v>686</v>
      </c>
      <c r="H214" s="1" t="s">
        <v>605</v>
      </c>
      <c r="I214" s="1" t="s">
        <v>674</v>
      </c>
      <c r="J214" s="1" t="s">
        <v>675</v>
      </c>
      <c r="K214" s="1" t="s">
        <v>4</v>
      </c>
      <c r="L214" s="5">
        <v>45082</v>
      </c>
      <c r="M214" s="11" t="s">
        <v>1232</v>
      </c>
      <c r="N214" s="11" t="str">
        <f t="shared" si="3"/>
        <v>405755</v>
      </c>
      <c r="O214" s="14">
        <v>45658</v>
      </c>
      <c r="P214" s="14"/>
      <c r="Q214" s="14"/>
    </row>
    <row r="215" spans="1:17" ht="10.199999999999999" customHeight="1" x14ac:dyDescent="0.25">
      <c r="A215" s="4" t="s">
        <v>570</v>
      </c>
      <c r="B215" s="4" t="s">
        <v>573</v>
      </c>
      <c r="C215" s="10" t="str">
        <f>MID(Tabela1[[#This Row],[Tributacao]],1,16)</f>
        <v>Simples Nacional</v>
      </c>
      <c r="D215" s="10" t="s">
        <v>1282</v>
      </c>
      <c r="E215" s="10">
        <v>0</v>
      </c>
      <c r="F215" s="4">
        <v>103988</v>
      </c>
      <c r="G215" s="1" t="s">
        <v>572</v>
      </c>
      <c r="H215" s="1" t="s">
        <v>228</v>
      </c>
      <c r="I215" s="1" t="s">
        <v>571</v>
      </c>
      <c r="J215" s="1" t="s">
        <v>338</v>
      </c>
      <c r="K215" s="1" t="s">
        <v>4</v>
      </c>
      <c r="L215" s="5">
        <v>44705</v>
      </c>
      <c r="M215" s="11" t="s">
        <v>1270</v>
      </c>
      <c r="N215" s="11" t="str">
        <f t="shared" si="3"/>
        <v>429546</v>
      </c>
      <c r="O215" s="14">
        <v>45658</v>
      </c>
      <c r="P215" s="14"/>
      <c r="Q215" s="14"/>
    </row>
    <row r="216" spans="1:17" ht="10.199999999999999" customHeight="1" x14ac:dyDescent="0.25">
      <c r="A216" s="4" t="s">
        <v>891</v>
      </c>
      <c r="B216" s="4" t="s">
        <v>894</v>
      </c>
      <c r="C216" s="10" t="str">
        <f>MID(Tabela1[[#This Row],[Tributacao]],1,16)</f>
        <v>Simples Nacional</v>
      </c>
      <c r="D216" s="10" t="s">
        <v>1282</v>
      </c>
      <c r="E216" s="10">
        <v>0</v>
      </c>
      <c r="F216" s="4">
        <v>125113</v>
      </c>
      <c r="G216" s="1" t="s">
        <v>893</v>
      </c>
      <c r="H216" s="1" t="s">
        <v>155</v>
      </c>
      <c r="I216" s="1" t="s">
        <v>892</v>
      </c>
      <c r="J216" s="1" t="s">
        <v>3</v>
      </c>
      <c r="K216" s="1" t="s">
        <v>4</v>
      </c>
      <c r="L216" s="5">
        <v>45729</v>
      </c>
      <c r="M216" s="11" t="s">
        <v>1266</v>
      </c>
      <c r="N216" s="11" t="str">
        <f t="shared" si="3"/>
        <v>036121</v>
      </c>
      <c r="O216" s="14">
        <f>L216</f>
        <v>45729</v>
      </c>
      <c r="P216" s="14"/>
      <c r="Q216" s="14"/>
    </row>
    <row r="217" spans="1:17" ht="10.199999999999999" customHeight="1" x14ac:dyDescent="0.25">
      <c r="A217" s="4" t="s">
        <v>92</v>
      </c>
      <c r="B217" s="4" t="s">
        <v>97</v>
      </c>
      <c r="C217" s="10" t="str">
        <f>MID(Tabela1[[#This Row],[Tributacao]],1,16)</f>
        <v>Simples Nacional</v>
      </c>
      <c r="D217" s="10" t="s">
        <v>1282</v>
      </c>
      <c r="E217" s="10" t="s">
        <v>1424</v>
      </c>
      <c r="F217" s="4">
        <v>56274</v>
      </c>
      <c r="G217" s="1" t="s">
        <v>95</v>
      </c>
      <c r="H217" s="1" t="s">
        <v>96</v>
      </c>
      <c r="I217" s="1" t="s">
        <v>93</v>
      </c>
      <c r="J217" s="1" t="s">
        <v>94</v>
      </c>
      <c r="K217" s="1" t="s">
        <v>4</v>
      </c>
      <c r="L217" s="5">
        <v>39374</v>
      </c>
      <c r="M217" s="11" t="s">
        <v>1161</v>
      </c>
      <c r="N217" s="11" t="str">
        <f t="shared" si="3"/>
        <v>790394</v>
      </c>
      <c r="O217" s="14">
        <v>45658</v>
      </c>
      <c r="P217" s="14"/>
      <c r="Q217" s="14"/>
    </row>
    <row r="218" spans="1:17" ht="10.199999999999999" customHeight="1" x14ac:dyDescent="0.25">
      <c r="A218" s="4" t="s">
        <v>737</v>
      </c>
      <c r="B218" s="4" t="s">
        <v>740</v>
      </c>
      <c r="C218" s="10" t="str">
        <f>MID(Tabela1[[#This Row],[Tributacao]],1,16)</f>
        <v>Simples Nacional</v>
      </c>
      <c r="D218" s="10" t="s">
        <v>1282</v>
      </c>
      <c r="E218" s="10">
        <v>0</v>
      </c>
      <c r="F218" s="4">
        <v>112131</v>
      </c>
      <c r="G218" s="1" t="s">
        <v>3</v>
      </c>
      <c r="H218" s="1" t="s">
        <v>126</v>
      </c>
      <c r="I218" s="1" t="s">
        <v>738</v>
      </c>
      <c r="J218" s="1" t="s">
        <v>739</v>
      </c>
      <c r="K218" s="1" t="s">
        <v>4</v>
      </c>
      <c r="L218" s="5">
        <v>45205</v>
      </c>
      <c r="M218" s="11" t="s">
        <v>1243</v>
      </c>
      <c r="N218" s="11" t="str">
        <f t="shared" si="3"/>
        <v>049115</v>
      </c>
      <c r="O218" s="14">
        <v>45658</v>
      </c>
      <c r="P218" s="14"/>
      <c r="Q218" s="14"/>
    </row>
    <row r="219" spans="1:17" ht="10.199999999999999" customHeight="1" x14ac:dyDescent="0.25">
      <c r="A219" s="4" t="s">
        <v>1056</v>
      </c>
      <c r="B219" s="4" t="s">
        <v>1061</v>
      </c>
      <c r="C219" s="10" t="str">
        <f>MID(Tabela1[[#This Row],[Tributacao]],1,16)</f>
        <v>Simples Nacional</v>
      </c>
      <c r="D219" s="10" t="s">
        <v>1282</v>
      </c>
      <c r="E219" s="10" t="s">
        <v>1425</v>
      </c>
      <c r="F219" s="4">
        <v>213501</v>
      </c>
      <c r="G219" s="1" t="s">
        <v>1059</v>
      </c>
      <c r="H219" s="1" t="s">
        <v>1060</v>
      </c>
      <c r="I219" s="1" t="s">
        <v>1057</v>
      </c>
      <c r="J219" s="1" t="s">
        <v>1058</v>
      </c>
      <c r="K219" s="1" t="s">
        <v>10</v>
      </c>
      <c r="L219" s="5">
        <v>39406</v>
      </c>
      <c r="M219" s="11" t="s">
        <v>1135</v>
      </c>
      <c r="N219" s="11" t="str">
        <f t="shared" si="3"/>
        <v>792832</v>
      </c>
      <c r="O219" s="14">
        <v>45658</v>
      </c>
      <c r="P219" s="14"/>
      <c r="Q219" s="14"/>
    </row>
    <row r="220" spans="1:17" ht="10.199999999999999" customHeight="1" x14ac:dyDescent="0.25">
      <c r="A220" s="4" t="s">
        <v>490</v>
      </c>
      <c r="B220" s="4" t="s">
        <v>494</v>
      </c>
      <c r="C220" s="10" t="str">
        <f>MID(Tabela1[[#This Row],[Tributacao]],1,16)</f>
        <v>Simples Nacional</v>
      </c>
      <c r="D220" s="10" t="s">
        <v>1282</v>
      </c>
      <c r="E220" s="10">
        <v>0</v>
      </c>
      <c r="F220" s="4">
        <v>100316</v>
      </c>
      <c r="G220" s="1" t="s">
        <v>493</v>
      </c>
      <c r="H220" s="1" t="s">
        <v>175</v>
      </c>
      <c r="I220" s="1" t="s">
        <v>491</v>
      </c>
      <c r="J220" s="1" t="s">
        <v>492</v>
      </c>
      <c r="K220" s="1" t="s">
        <v>4</v>
      </c>
      <c r="L220" s="5">
        <v>44348</v>
      </c>
      <c r="M220" s="11" t="s">
        <v>1256</v>
      </c>
      <c r="N220" s="11" t="str">
        <f t="shared" si="3"/>
        <v>622855</v>
      </c>
      <c r="O220" s="14">
        <v>45658</v>
      </c>
      <c r="P220" s="14"/>
      <c r="Q220" s="14"/>
    </row>
    <row r="221" spans="1:17" ht="10.199999999999999" customHeight="1" x14ac:dyDescent="0.25">
      <c r="A221" s="4" t="s">
        <v>958</v>
      </c>
      <c r="B221" s="4" t="s">
        <v>961</v>
      </c>
      <c r="C221" s="10" t="str">
        <f>MID(Tabela1[[#This Row],[Tributacao]],1,16)</f>
        <v>Simples Nacional</v>
      </c>
      <c r="D221" s="10" t="s">
        <v>1282</v>
      </c>
      <c r="E221" s="10" t="s">
        <v>1427</v>
      </c>
      <c r="F221" s="4">
        <v>49938</v>
      </c>
      <c r="G221" s="1" t="s">
        <v>960</v>
      </c>
      <c r="H221" s="1" t="s">
        <v>169</v>
      </c>
      <c r="I221" s="1" t="s">
        <v>959</v>
      </c>
      <c r="J221" s="1" t="s">
        <v>396</v>
      </c>
      <c r="K221" s="1" t="s">
        <v>4</v>
      </c>
      <c r="L221" s="5">
        <v>37288</v>
      </c>
      <c r="M221" s="11" t="s">
        <v>1152</v>
      </c>
      <c r="N221" s="11" t="str">
        <f t="shared" si="3"/>
        <v>279147</v>
      </c>
      <c r="O221" s="14">
        <v>45658</v>
      </c>
      <c r="P221" s="14"/>
      <c r="Q221" s="14"/>
    </row>
    <row r="222" spans="1:17" ht="10.199999999999999" customHeight="1" x14ac:dyDescent="0.25">
      <c r="A222" s="2"/>
      <c r="B222" s="3"/>
      <c r="C222" s="13"/>
      <c r="D222" s="13"/>
      <c r="L222" s="4"/>
      <c r="M222" s="4"/>
      <c r="N222" s="10"/>
      <c r="P222" s="14"/>
      <c r="Q222" s="14"/>
    </row>
    <row r="223" spans="1:17" ht="10.199999999999999" customHeight="1" x14ac:dyDescent="0.25">
      <c r="L223" s="4"/>
      <c r="M223" s="4"/>
      <c r="N223" s="10"/>
      <c r="P223" s="14"/>
      <c r="Q223" s="14"/>
    </row>
    <row r="224" spans="1:17" ht="10.199999999999999" customHeight="1" x14ac:dyDescent="0.25">
      <c r="L224" s="10"/>
      <c r="M224" s="4"/>
      <c r="N224" s="10"/>
      <c r="P224" s="14"/>
      <c r="Q224" s="14"/>
    </row>
    <row r="225" spans="12:14" ht="10.199999999999999" customHeight="1" x14ac:dyDescent="0.25">
      <c r="L225" s="4"/>
      <c r="M225" s="4"/>
      <c r="N225" s="10"/>
    </row>
    <row r="226" spans="12:14" ht="10.199999999999999" customHeight="1" x14ac:dyDescent="0.25">
      <c r="M226" s="4"/>
      <c r="N226" s="10"/>
    </row>
    <row r="227" spans="12:14" ht="10.199999999999999" customHeight="1" x14ac:dyDescent="0.25">
      <c r="L227" s="4"/>
      <c r="M227" s="4"/>
      <c r="N227" s="10"/>
    </row>
    <row r="228" spans="12:14" ht="10.199999999999999" customHeight="1" x14ac:dyDescent="0.25">
      <c r="L228" s="4"/>
      <c r="M228" s="4"/>
      <c r="N228" s="10"/>
    </row>
    <row r="229" spans="12:14" ht="10.199999999999999" customHeight="1" x14ac:dyDescent="0.25">
      <c r="L229" s="4"/>
      <c r="M229" s="4"/>
      <c r="N229" s="10"/>
    </row>
    <row r="230" spans="12:14" ht="10.199999999999999" customHeight="1" x14ac:dyDescent="0.25">
      <c r="L230" s="4"/>
      <c r="M230" s="4"/>
      <c r="N230" s="10"/>
    </row>
    <row r="231" spans="12:14" ht="10.199999999999999" customHeight="1" x14ac:dyDescent="0.25">
      <c r="L231" s="4"/>
      <c r="M231" s="4"/>
      <c r="N231" s="10"/>
    </row>
    <row r="232" spans="12:14" ht="10.199999999999999" customHeight="1" x14ac:dyDescent="0.25">
      <c r="L232" s="4"/>
      <c r="M232" s="4"/>
      <c r="N232" s="10"/>
    </row>
    <row r="233" spans="12:14" ht="10.199999999999999" customHeight="1" x14ac:dyDescent="0.25">
      <c r="L233" s="4"/>
      <c r="M233" s="4"/>
      <c r="N233" s="10"/>
    </row>
    <row r="234" spans="12:14" ht="10.199999999999999" customHeight="1" x14ac:dyDescent="0.25">
      <c r="L234" s="4"/>
      <c r="M234" s="4"/>
      <c r="N234" s="10"/>
    </row>
    <row r="235" spans="12:14" ht="10.199999999999999" customHeight="1" x14ac:dyDescent="0.25">
      <c r="L235" s="4"/>
      <c r="M235" s="4"/>
      <c r="N235" s="10"/>
    </row>
    <row r="236" spans="12:14" ht="10.199999999999999" customHeight="1" x14ac:dyDescent="0.25">
      <c r="L236" s="4"/>
      <c r="M236" s="4"/>
      <c r="N236" s="10"/>
    </row>
    <row r="237" spans="12:14" ht="10.199999999999999" customHeight="1" x14ac:dyDescent="0.25">
      <c r="L237" s="4"/>
      <c r="M237" s="4"/>
      <c r="N237" s="10"/>
    </row>
    <row r="238" spans="12:14" ht="10.199999999999999" customHeight="1" x14ac:dyDescent="0.25">
      <c r="L238" s="4"/>
      <c r="M238" s="4"/>
      <c r="N238" s="10"/>
    </row>
    <row r="239" spans="12:14" ht="10.199999999999999" customHeight="1" x14ac:dyDescent="0.25">
      <c r="L239" s="4"/>
      <c r="M239" s="4"/>
      <c r="N239" s="10"/>
    </row>
    <row r="240" spans="12:14" ht="10.199999999999999" customHeight="1" x14ac:dyDescent="0.25">
      <c r="L240" s="4"/>
      <c r="M240" s="4"/>
      <c r="N240" s="10"/>
    </row>
    <row r="241" spans="12:14" ht="10.199999999999999" customHeight="1" x14ac:dyDescent="0.25">
      <c r="L241" s="4"/>
      <c r="M241" s="4"/>
      <c r="N241" s="10"/>
    </row>
    <row r="242" spans="12:14" ht="10.199999999999999" customHeight="1" x14ac:dyDescent="0.25">
      <c r="L242" s="4"/>
      <c r="M242" s="4"/>
      <c r="N242" s="10"/>
    </row>
    <row r="243" spans="12:14" ht="10.199999999999999" customHeight="1" x14ac:dyDescent="0.25">
      <c r="L243" s="4"/>
      <c r="M243" s="4"/>
      <c r="N243" s="10"/>
    </row>
    <row r="244" spans="12:14" ht="10.199999999999999" customHeight="1" x14ac:dyDescent="0.25">
      <c r="L244" s="4"/>
      <c r="M244" s="4"/>
      <c r="N244" s="10"/>
    </row>
    <row r="245" spans="12:14" ht="10.199999999999999" customHeight="1" x14ac:dyDescent="0.25">
      <c r="L245" s="4"/>
      <c r="M245" s="4"/>
      <c r="N245" s="10"/>
    </row>
    <row r="246" spans="12:14" ht="10.199999999999999" customHeight="1" x14ac:dyDescent="0.25">
      <c r="L246" s="4"/>
      <c r="M246" s="4"/>
      <c r="N246" s="10"/>
    </row>
    <row r="247" spans="12:14" ht="10.199999999999999" customHeight="1" x14ac:dyDescent="0.25">
      <c r="L247" s="4"/>
      <c r="M247" s="4"/>
      <c r="N247" s="10"/>
    </row>
    <row r="248" spans="12:14" ht="10.199999999999999" customHeight="1" x14ac:dyDescent="0.25">
      <c r="L248" s="4"/>
      <c r="M248" s="4"/>
      <c r="N248" s="10"/>
    </row>
    <row r="249" spans="12:14" ht="10.199999999999999" customHeight="1" x14ac:dyDescent="0.25">
      <c r="L249" s="4"/>
      <c r="M249" s="4"/>
      <c r="N249" s="10"/>
    </row>
    <row r="250" spans="12:14" ht="10.199999999999999" customHeight="1" x14ac:dyDescent="0.25">
      <c r="L250" s="4"/>
      <c r="M250" s="4"/>
      <c r="N250" s="10"/>
    </row>
    <row r="251" spans="12:14" ht="10.199999999999999" customHeight="1" x14ac:dyDescent="0.25">
      <c r="L251" s="4"/>
      <c r="M251" s="4"/>
      <c r="N251" s="10"/>
    </row>
    <row r="252" spans="12:14" ht="10.199999999999999" customHeight="1" x14ac:dyDescent="0.25">
      <c r="L252" s="4"/>
      <c r="M252" s="4"/>
      <c r="N252" s="10"/>
    </row>
    <row r="253" spans="12:14" ht="10.199999999999999" customHeight="1" x14ac:dyDescent="0.25">
      <c r="L253" s="4"/>
      <c r="M253" s="4"/>
      <c r="N253" s="10"/>
    </row>
    <row r="254" spans="12:14" ht="10.199999999999999" customHeight="1" x14ac:dyDescent="0.25">
      <c r="L254" s="4"/>
      <c r="M254" s="4"/>
      <c r="N254" s="10"/>
    </row>
    <row r="255" spans="12:14" ht="10.199999999999999" customHeight="1" x14ac:dyDescent="0.25">
      <c r="L255" s="4"/>
      <c r="M255" s="4"/>
      <c r="N255" s="10"/>
    </row>
    <row r="256" spans="12:14" ht="10.199999999999999" customHeight="1" x14ac:dyDescent="0.25">
      <c r="L256" s="4"/>
      <c r="M256" s="4"/>
      <c r="N256" s="10"/>
    </row>
    <row r="257" spans="12:14" ht="10.199999999999999" customHeight="1" x14ac:dyDescent="0.25">
      <c r="L257" s="4"/>
      <c r="M257" s="4"/>
      <c r="N257" s="10"/>
    </row>
    <row r="258" spans="12:14" ht="10.199999999999999" customHeight="1" x14ac:dyDescent="0.25">
      <c r="L258" s="4"/>
      <c r="M258" s="4"/>
      <c r="N258" s="10"/>
    </row>
    <row r="259" spans="12:14" ht="10.199999999999999" customHeight="1" x14ac:dyDescent="0.25">
      <c r="L259" s="4"/>
      <c r="M259" s="4"/>
      <c r="N259" s="10"/>
    </row>
    <row r="260" spans="12:14" ht="10.199999999999999" customHeight="1" x14ac:dyDescent="0.25">
      <c r="L260" s="4"/>
      <c r="M260" s="4"/>
      <c r="N260" s="10"/>
    </row>
    <row r="261" spans="12:14" ht="10.199999999999999" customHeight="1" x14ac:dyDescent="0.25">
      <c r="L261" s="4"/>
      <c r="M261" s="4"/>
      <c r="N261" s="10"/>
    </row>
    <row r="262" spans="12:14" ht="10.199999999999999" customHeight="1" x14ac:dyDescent="0.25">
      <c r="L262" s="4"/>
      <c r="M262" s="4"/>
      <c r="N262" s="10"/>
    </row>
    <row r="263" spans="12:14" ht="10.199999999999999" customHeight="1" x14ac:dyDescent="0.25">
      <c r="L263" s="4"/>
      <c r="M263" s="4"/>
      <c r="N263" s="10"/>
    </row>
    <row r="264" spans="12:14" ht="10.199999999999999" customHeight="1" x14ac:dyDescent="0.25">
      <c r="L264" s="4"/>
      <c r="M264" s="4"/>
      <c r="N264" s="10"/>
    </row>
    <row r="265" spans="12:14" ht="10.199999999999999" customHeight="1" x14ac:dyDescent="0.25">
      <c r="L265" s="4"/>
      <c r="M265" s="4"/>
      <c r="N265" s="10"/>
    </row>
    <row r="266" spans="12:14" ht="10.199999999999999" customHeight="1" x14ac:dyDescent="0.25">
      <c r="L266" s="4"/>
      <c r="M266" s="4"/>
      <c r="N266" s="10"/>
    </row>
    <row r="267" spans="12:14" ht="10.199999999999999" customHeight="1" x14ac:dyDescent="0.25">
      <c r="L267" s="4"/>
      <c r="M267" s="4"/>
      <c r="N267" s="10"/>
    </row>
    <row r="268" spans="12:14" ht="10.199999999999999" customHeight="1" x14ac:dyDescent="0.25">
      <c r="L268" s="4"/>
      <c r="M268" s="4"/>
      <c r="N268" s="10"/>
    </row>
    <row r="269" spans="12:14" ht="10.199999999999999" customHeight="1" x14ac:dyDescent="0.25">
      <c r="L269" s="4"/>
      <c r="M269" s="4"/>
      <c r="N269" s="10"/>
    </row>
    <row r="270" spans="12:14" ht="10.199999999999999" customHeight="1" x14ac:dyDescent="0.25">
      <c r="L270" s="4"/>
      <c r="M270" s="4"/>
      <c r="N270" s="10"/>
    </row>
    <row r="271" spans="12:14" ht="10.199999999999999" customHeight="1" x14ac:dyDescent="0.25">
      <c r="L271" s="4"/>
      <c r="M271" s="4"/>
      <c r="N271" s="10"/>
    </row>
    <row r="272" spans="12:14" ht="10.199999999999999" customHeight="1" x14ac:dyDescent="0.25">
      <c r="L272" s="4"/>
      <c r="M272" s="4"/>
      <c r="N272" s="10"/>
    </row>
    <row r="273" spans="12:14" ht="10.199999999999999" customHeight="1" x14ac:dyDescent="0.25">
      <c r="L273" s="4"/>
      <c r="M273" s="4"/>
      <c r="N273" s="10"/>
    </row>
    <row r="274" spans="12:14" ht="10.199999999999999" customHeight="1" x14ac:dyDescent="0.25">
      <c r="L274" s="4"/>
      <c r="M274" s="4"/>
      <c r="N274" s="10"/>
    </row>
    <row r="275" spans="12:14" ht="10.199999999999999" customHeight="1" x14ac:dyDescent="0.25">
      <c r="L275" s="4"/>
      <c r="M275" s="4"/>
      <c r="N275" s="10"/>
    </row>
    <row r="276" spans="12:14" ht="10.199999999999999" customHeight="1" x14ac:dyDescent="0.25">
      <c r="L276" s="4"/>
      <c r="M276" s="4"/>
      <c r="N276" s="10"/>
    </row>
    <row r="277" spans="12:14" ht="10.199999999999999" customHeight="1" x14ac:dyDescent="0.25">
      <c r="L277" s="4"/>
      <c r="M277" s="4"/>
      <c r="N277" s="10"/>
    </row>
    <row r="278" spans="12:14" ht="10.199999999999999" customHeight="1" x14ac:dyDescent="0.25">
      <c r="L278" s="4"/>
      <c r="M278" s="4"/>
      <c r="N278" s="10"/>
    </row>
    <row r="279" spans="12:14" ht="10.199999999999999" customHeight="1" x14ac:dyDescent="0.25">
      <c r="L279" s="4"/>
      <c r="M279" s="4"/>
      <c r="N279" s="10"/>
    </row>
    <row r="280" spans="12:14" ht="10.199999999999999" customHeight="1" x14ac:dyDescent="0.25">
      <c r="L280" s="4"/>
      <c r="M280" s="4"/>
      <c r="N280" s="10"/>
    </row>
    <row r="281" spans="12:14" ht="10.199999999999999" customHeight="1" x14ac:dyDescent="0.25">
      <c r="L281" s="4"/>
      <c r="M281" s="4"/>
      <c r="N281" s="10"/>
    </row>
    <row r="282" spans="12:14" ht="10.199999999999999" customHeight="1" x14ac:dyDescent="0.25">
      <c r="L282" s="4"/>
      <c r="M282" s="4"/>
      <c r="N282" s="10"/>
    </row>
    <row r="283" spans="12:14" ht="10.199999999999999" customHeight="1" x14ac:dyDescent="0.25">
      <c r="L283" s="4"/>
      <c r="M283" s="4"/>
      <c r="N283" s="10"/>
    </row>
    <row r="284" spans="12:14" ht="10.199999999999999" customHeight="1" x14ac:dyDescent="0.25">
      <c r="L284" s="4"/>
      <c r="M284" s="4"/>
      <c r="N284" s="10"/>
    </row>
    <row r="285" spans="12:14" ht="10.199999999999999" customHeight="1" x14ac:dyDescent="0.25">
      <c r="L285" s="4"/>
      <c r="M285" s="4"/>
      <c r="N285" s="10"/>
    </row>
    <row r="286" spans="12:14" ht="10.199999999999999" customHeight="1" x14ac:dyDescent="0.25">
      <c r="L286" s="4"/>
      <c r="M286" s="4"/>
      <c r="N286" s="10"/>
    </row>
    <row r="287" spans="12:14" ht="10.199999999999999" customHeight="1" x14ac:dyDescent="0.25">
      <c r="L287" s="4"/>
      <c r="M287" s="4"/>
      <c r="N287" s="10"/>
    </row>
    <row r="288" spans="12:14" ht="10.199999999999999" customHeight="1" x14ac:dyDescent="0.25">
      <c r="L288" s="4"/>
      <c r="M288" s="4"/>
      <c r="N288" s="10"/>
    </row>
    <row r="289" spans="12:14" ht="10.199999999999999" customHeight="1" x14ac:dyDescent="0.25">
      <c r="L289" s="4"/>
      <c r="M289" s="4"/>
      <c r="N289" s="10"/>
    </row>
    <row r="290" spans="12:14" ht="10.199999999999999" customHeight="1" x14ac:dyDescent="0.25">
      <c r="L290" s="4"/>
      <c r="M290" s="4"/>
      <c r="N290" s="10"/>
    </row>
    <row r="291" spans="12:14" ht="10.199999999999999" customHeight="1" x14ac:dyDescent="0.25">
      <c r="L291" s="4"/>
      <c r="M291" s="4"/>
      <c r="N291" s="10"/>
    </row>
    <row r="292" spans="12:14" ht="10.199999999999999" customHeight="1" x14ac:dyDescent="0.25">
      <c r="L292" s="4"/>
      <c r="M292" s="4"/>
      <c r="N292" s="10"/>
    </row>
    <row r="293" spans="12:14" ht="10.199999999999999" customHeight="1" x14ac:dyDescent="0.25">
      <c r="L293" s="4"/>
      <c r="M293" s="4"/>
      <c r="N293" s="10"/>
    </row>
    <row r="294" spans="12:14" ht="10.199999999999999" customHeight="1" x14ac:dyDescent="0.25">
      <c r="L294" s="4"/>
      <c r="M294" s="4"/>
      <c r="N294" s="10"/>
    </row>
    <row r="295" spans="12:14" ht="10.199999999999999" customHeight="1" x14ac:dyDescent="0.25">
      <c r="L295" s="4"/>
      <c r="M295" s="4"/>
      <c r="N295" s="10"/>
    </row>
    <row r="296" spans="12:14" ht="10.199999999999999" customHeight="1" x14ac:dyDescent="0.25">
      <c r="L296" s="4"/>
      <c r="M296" s="4"/>
      <c r="N296" s="10"/>
    </row>
    <row r="297" spans="12:14" ht="10.199999999999999" customHeight="1" x14ac:dyDescent="0.25">
      <c r="L297" s="4"/>
      <c r="M297" s="4"/>
      <c r="N297" s="10"/>
    </row>
    <row r="298" spans="12:14" ht="10.199999999999999" customHeight="1" x14ac:dyDescent="0.25">
      <c r="L298" s="4"/>
      <c r="M298" s="4"/>
      <c r="N298" s="10"/>
    </row>
    <row r="299" spans="12:14" ht="10.199999999999999" customHeight="1" x14ac:dyDescent="0.25">
      <c r="L299" s="4"/>
      <c r="M299" s="4"/>
      <c r="N299" s="10"/>
    </row>
    <row r="300" spans="12:14" ht="10.199999999999999" customHeight="1" x14ac:dyDescent="0.25">
      <c r="L300" s="4"/>
      <c r="M300" s="4"/>
      <c r="N300" s="10"/>
    </row>
    <row r="301" spans="12:14" ht="10.199999999999999" customHeight="1" x14ac:dyDescent="0.25">
      <c r="L301" s="4"/>
      <c r="M301" s="4"/>
      <c r="N301" s="10"/>
    </row>
    <row r="302" spans="12:14" ht="10.199999999999999" customHeight="1" x14ac:dyDescent="0.25">
      <c r="L302" s="4"/>
      <c r="M302" s="4"/>
      <c r="N302" s="10"/>
    </row>
    <row r="303" spans="12:14" ht="10.199999999999999" customHeight="1" x14ac:dyDescent="0.25">
      <c r="L303" s="4"/>
      <c r="M303" s="4"/>
      <c r="N303" s="10"/>
    </row>
    <row r="304" spans="12:14" ht="10.199999999999999" customHeight="1" x14ac:dyDescent="0.25">
      <c r="L304" s="4"/>
      <c r="M304" s="4"/>
      <c r="N304" s="10"/>
    </row>
    <row r="305" spans="12:14" ht="10.199999999999999" customHeight="1" x14ac:dyDescent="0.25">
      <c r="L305" s="4"/>
      <c r="M305" s="4"/>
      <c r="N305" s="10"/>
    </row>
    <row r="306" spans="12:14" ht="10.199999999999999" customHeight="1" x14ac:dyDescent="0.25">
      <c r="L306" s="4"/>
      <c r="M306" s="4"/>
      <c r="N306" s="10"/>
    </row>
    <row r="307" spans="12:14" ht="10.199999999999999" customHeight="1" x14ac:dyDescent="0.25">
      <c r="L307" s="4"/>
      <c r="M307" s="4"/>
      <c r="N307" s="10"/>
    </row>
    <row r="308" spans="12:14" ht="10.199999999999999" customHeight="1" x14ac:dyDescent="0.25">
      <c r="L308" s="4"/>
      <c r="M308" s="4"/>
      <c r="N308" s="10"/>
    </row>
    <row r="309" spans="12:14" ht="10.199999999999999" customHeight="1" x14ac:dyDescent="0.25">
      <c r="L309" s="4"/>
      <c r="M309" s="4"/>
      <c r="N309" s="10"/>
    </row>
    <row r="310" spans="12:14" ht="10.199999999999999" customHeight="1" x14ac:dyDescent="0.25">
      <c r="L310" s="4"/>
      <c r="M310" s="4"/>
      <c r="N310" s="10"/>
    </row>
    <row r="311" spans="12:14" ht="10.199999999999999" customHeight="1" x14ac:dyDescent="0.25">
      <c r="L311" s="4"/>
      <c r="M311" s="4"/>
      <c r="N311" s="10"/>
    </row>
    <row r="312" spans="12:14" ht="10.199999999999999" customHeight="1" x14ac:dyDescent="0.25">
      <c r="L312" s="4"/>
      <c r="M312" s="4"/>
      <c r="N312" s="10"/>
    </row>
    <row r="313" spans="12:14" ht="10.199999999999999" customHeight="1" x14ac:dyDescent="0.25">
      <c r="L313" s="4"/>
      <c r="M313" s="4"/>
      <c r="N313" s="10"/>
    </row>
    <row r="314" spans="12:14" ht="10.199999999999999" customHeight="1" x14ac:dyDescent="0.25">
      <c r="L314" s="4"/>
      <c r="M314" s="4"/>
      <c r="N314" s="10"/>
    </row>
    <row r="315" spans="12:14" ht="10.199999999999999" customHeight="1" x14ac:dyDescent="0.25">
      <c r="L315" s="4"/>
      <c r="M315" s="4"/>
      <c r="N315" s="10"/>
    </row>
    <row r="316" spans="12:14" ht="10.199999999999999" customHeight="1" x14ac:dyDescent="0.25">
      <c r="L316" s="4"/>
      <c r="M316" s="4"/>
      <c r="N316" s="10"/>
    </row>
    <row r="317" spans="12:14" ht="10.199999999999999" customHeight="1" x14ac:dyDescent="0.25">
      <c r="L317" s="4"/>
      <c r="M317" s="4"/>
      <c r="N317" s="10"/>
    </row>
    <row r="318" spans="12:14" ht="10.199999999999999" customHeight="1" x14ac:dyDescent="0.25">
      <c r="L318" s="4"/>
      <c r="M318" s="4"/>
      <c r="N318" s="10"/>
    </row>
    <row r="319" spans="12:14" ht="10.199999999999999" customHeight="1" x14ac:dyDescent="0.25">
      <c r="L319" s="4"/>
      <c r="M319" s="4"/>
      <c r="N319" s="10"/>
    </row>
    <row r="320" spans="12:14" ht="10.199999999999999" customHeight="1" x14ac:dyDescent="0.25">
      <c r="L320" s="4"/>
      <c r="M320" s="4"/>
      <c r="N320" s="10"/>
    </row>
    <row r="321" spans="12:14" ht="10.199999999999999" customHeight="1" x14ac:dyDescent="0.25">
      <c r="L321" s="4"/>
      <c r="M321" s="4"/>
      <c r="N321" s="10"/>
    </row>
    <row r="322" spans="12:14" ht="10.199999999999999" customHeight="1" x14ac:dyDescent="0.25">
      <c r="L322" s="4"/>
      <c r="M322" s="4"/>
      <c r="N322" s="10"/>
    </row>
    <row r="323" spans="12:14" ht="10.199999999999999" customHeight="1" x14ac:dyDescent="0.25">
      <c r="L323" s="4"/>
      <c r="M323" s="4"/>
    </row>
    <row r="324" spans="12:14" ht="10.199999999999999" customHeight="1" x14ac:dyDescent="0.25">
      <c r="L324" s="4"/>
      <c r="M324" s="4"/>
    </row>
    <row r="325" spans="12:14" ht="10.199999999999999" customHeight="1" x14ac:dyDescent="0.25">
      <c r="L325" s="4"/>
      <c r="M325" s="4"/>
    </row>
    <row r="326" spans="12:14" ht="10.199999999999999" customHeight="1" x14ac:dyDescent="0.25">
      <c r="L326" s="4"/>
      <c r="M326" s="4"/>
    </row>
    <row r="327" spans="12:14" ht="10.199999999999999" customHeight="1" x14ac:dyDescent="0.25">
      <c r="L327" s="4"/>
      <c r="M327" s="4"/>
    </row>
    <row r="328" spans="12:14" ht="10.199999999999999" customHeight="1" x14ac:dyDescent="0.25">
      <c r="L328" s="4"/>
      <c r="M328" s="4"/>
    </row>
    <row r="329" spans="12:14" ht="10.199999999999999" customHeight="1" x14ac:dyDescent="0.25">
      <c r="L329" s="4"/>
      <c r="M329" s="4"/>
    </row>
    <row r="330" spans="12:14" ht="10.199999999999999" customHeight="1" x14ac:dyDescent="0.25">
      <c r="L330" s="4"/>
      <c r="M330" s="4"/>
    </row>
    <row r="331" spans="12:14" ht="10.199999999999999" customHeight="1" x14ac:dyDescent="0.25">
      <c r="L331" s="4"/>
      <c r="M331" s="4"/>
    </row>
    <row r="332" spans="12:14" ht="10.199999999999999" customHeight="1" x14ac:dyDescent="0.25">
      <c r="L332" s="4"/>
      <c r="M332" s="4"/>
    </row>
    <row r="333" spans="12:14" ht="10.199999999999999" customHeight="1" x14ac:dyDescent="0.25">
      <c r="L333" s="4"/>
      <c r="M333" s="4"/>
    </row>
    <row r="334" spans="12:14" ht="10.199999999999999" customHeight="1" x14ac:dyDescent="0.25">
      <c r="L334" s="4"/>
      <c r="M334" s="4"/>
    </row>
    <row r="335" spans="12:14" ht="10.199999999999999" customHeight="1" x14ac:dyDescent="0.25">
      <c r="L335" s="4"/>
      <c r="M335" s="4"/>
    </row>
    <row r="336" spans="12:14" ht="10.199999999999999" customHeight="1" x14ac:dyDescent="0.25">
      <c r="L336" s="4"/>
      <c r="M336" s="4"/>
    </row>
    <row r="337" spans="12:13" ht="10.199999999999999" customHeight="1" x14ac:dyDescent="0.25">
      <c r="L337" s="4"/>
      <c r="M337" s="4"/>
    </row>
    <row r="338" spans="12:13" ht="10.199999999999999" customHeight="1" x14ac:dyDescent="0.25">
      <c r="L338" s="4"/>
      <c r="M338" s="4"/>
    </row>
    <row r="339" spans="12:13" ht="10.199999999999999" customHeight="1" x14ac:dyDescent="0.25">
      <c r="L339" s="4"/>
      <c r="M339" s="4"/>
    </row>
    <row r="340" spans="12:13" ht="10.199999999999999" customHeight="1" x14ac:dyDescent="0.25">
      <c r="L340" s="4"/>
      <c r="M340" s="4"/>
    </row>
    <row r="341" spans="12:13" ht="10.199999999999999" customHeight="1" x14ac:dyDescent="0.25">
      <c r="L341" s="4"/>
      <c r="M341" s="4"/>
    </row>
    <row r="342" spans="12:13" ht="10.199999999999999" customHeight="1" x14ac:dyDescent="0.25">
      <c r="L342" s="4"/>
      <c r="M342" s="4"/>
    </row>
    <row r="343" spans="12:13" ht="10.199999999999999" customHeight="1" x14ac:dyDescent="0.25">
      <c r="L343" s="4"/>
      <c r="M343" s="4"/>
    </row>
    <row r="344" spans="12:13" ht="10.199999999999999" customHeight="1" x14ac:dyDescent="0.25">
      <c r="L344" s="4"/>
      <c r="M344" s="4"/>
    </row>
    <row r="345" spans="12:13" ht="10.199999999999999" customHeight="1" x14ac:dyDescent="0.25">
      <c r="L345" s="4"/>
      <c r="M345" s="4"/>
    </row>
    <row r="346" spans="12:13" ht="10.199999999999999" customHeight="1" x14ac:dyDescent="0.25">
      <c r="L346" s="4"/>
      <c r="M346" s="4"/>
    </row>
    <row r="347" spans="12:13" ht="10.199999999999999" customHeight="1" x14ac:dyDescent="0.25">
      <c r="L347" s="4"/>
      <c r="M347" s="4"/>
    </row>
    <row r="348" spans="12:13" ht="10.199999999999999" customHeight="1" x14ac:dyDescent="0.25">
      <c r="L348" s="4"/>
      <c r="M348" s="4"/>
    </row>
    <row r="349" spans="12:13" ht="10.199999999999999" customHeight="1" x14ac:dyDescent="0.25">
      <c r="L349" s="4"/>
      <c r="M349" s="4"/>
    </row>
    <row r="350" spans="12:13" ht="10.199999999999999" customHeight="1" x14ac:dyDescent="0.25">
      <c r="L350" s="4"/>
      <c r="M350" s="4"/>
    </row>
    <row r="351" spans="12:13" ht="10.199999999999999" customHeight="1" x14ac:dyDescent="0.25">
      <c r="L351" s="4"/>
      <c r="M351" s="4"/>
    </row>
    <row r="352" spans="12:13" ht="10.199999999999999" customHeight="1" x14ac:dyDescent="0.25">
      <c r="L352" s="4"/>
      <c r="M352" s="4"/>
    </row>
    <row r="353" spans="12:13" ht="10.199999999999999" customHeight="1" x14ac:dyDescent="0.25">
      <c r="L353" s="4"/>
      <c r="M353" s="4"/>
    </row>
    <row r="354" spans="12:13" ht="10.199999999999999" customHeight="1" x14ac:dyDescent="0.25">
      <c r="L354" s="4"/>
      <c r="M354" s="4"/>
    </row>
    <row r="355" spans="12:13" ht="10.199999999999999" customHeight="1" x14ac:dyDescent="0.25">
      <c r="L355" s="4"/>
      <c r="M355" s="4"/>
    </row>
    <row r="356" spans="12:13" ht="10.199999999999999" customHeight="1" x14ac:dyDescent="0.25">
      <c r="L356" s="4"/>
      <c r="M356" s="4"/>
    </row>
    <row r="357" spans="12:13" ht="10.199999999999999" customHeight="1" x14ac:dyDescent="0.25">
      <c r="L357" s="4"/>
      <c r="M357" s="4"/>
    </row>
    <row r="358" spans="12:13" ht="10.199999999999999" customHeight="1" x14ac:dyDescent="0.25">
      <c r="L358" s="4"/>
      <c r="M358" s="4"/>
    </row>
    <row r="359" spans="12:13" ht="10.199999999999999" customHeight="1" x14ac:dyDescent="0.25">
      <c r="L359" s="4"/>
      <c r="M359" s="4"/>
    </row>
    <row r="360" spans="12:13" ht="10.199999999999999" customHeight="1" x14ac:dyDescent="0.25">
      <c r="L360" s="4"/>
      <c r="M360" s="4"/>
    </row>
    <row r="361" spans="12:13" ht="10.199999999999999" customHeight="1" x14ac:dyDescent="0.25">
      <c r="L361" s="4"/>
      <c r="M361" s="4"/>
    </row>
    <row r="362" spans="12:13" ht="10.199999999999999" customHeight="1" x14ac:dyDescent="0.25">
      <c r="L362" s="4"/>
      <c r="M362" s="4"/>
    </row>
    <row r="363" spans="12:13" ht="10.199999999999999" customHeight="1" x14ac:dyDescent="0.25">
      <c r="L363" s="4"/>
      <c r="M363" s="4"/>
    </row>
    <row r="364" spans="12:13" ht="10.199999999999999" customHeight="1" x14ac:dyDescent="0.25">
      <c r="L364" s="4"/>
      <c r="M364" s="4"/>
    </row>
    <row r="365" spans="12:13" ht="10.199999999999999" customHeight="1" x14ac:dyDescent="0.25">
      <c r="L365" s="4"/>
      <c r="M365" s="4"/>
    </row>
    <row r="366" spans="12:13" ht="10.199999999999999" customHeight="1" x14ac:dyDescent="0.25">
      <c r="L366" s="4"/>
      <c r="M366" s="4"/>
    </row>
    <row r="367" spans="12:13" ht="10.199999999999999" customHeight="1" x14ac:dyDescent="0.25">
      <c r="L367" s="4"/>
      <c r="M367" s="4"/>
    </row>
    <row r="368" spans="12:13" ht="10.199999999999999" customHeight="1" x14ac:dyDescent="0.25">
      <c r="L368" s="4"/>
      <c r="M368" s="4"/>
    </row>
    <row r="369" spans="12:13" ht="10.199999999999999" customHeight="1" x14ac:dyDescent="0.25">
      <c r="L369" s="4"/>
      <c r="M369" s="4"/>
    </row>
    <row r="370" spans="12:13" ht="10.199999999999999" customHeight="1" x14ac:dyDescent="0.25">
      <c r="L370" s="4"/>
      <c r="M370" s="4"/>
    </row>
    <row r="371" spans="12:13" ht="10.199999999999999" customHeight="1" x14ac:dyDescent="0.25">
      <c r="L371" s="4"/>
      <c r="M371" s="4"/>
    </row>
    <row r="372" spans="12:13" ht="10.199999999999999" customHeight="1" x14ac:dyDescent="0.25">
      <c r="L372" s="4"/>
      <c r="M372" s="4"/>
    </row>
    <row r="373" spans="12:13" ht="10.199999999999999" customHeight="1" x14ac:dyDescent="0.25">
      <c r="L373" s="4"/>
      <c r="M373" s="4"/>
    </row>
    <row r="374" spans="12:13" ht="10.199999999999999" customHeight="1" x14ac:dyDescent="0.25">
      <c r="L374" s="4"/>
      <c r="M374" s="4"/>
    </row>
    <row r="375" spans="12:13" ht="10.199999999999999" customHeight="1" x14ac:dyDescent="0.25">
      <c r="L375" s="4"/>
      <c r="M375" s="4"/>
    </row>
    <row r="376" spans="12:13" ht="10.199999999999999" customHeight="1" x14ac:dyDescent="0.25">
      <c r="L376" s="4"/>
      <c r="M376" s="4"/>
    </row>
    <row r="377" spans="12:13" ht="10.199999999999999" customHeight="1" x14ac:dyDescent="0.25">
      <c r="L377" s="4"/>
      <c r="M377" s="4"/>
    </row>
    <row r="378" spans="12:13" ht="10.199999999999999" customHeight="1" x14ac:dyDescent="0.25">
      <c r="L378" s="4"/>
      <c r="M378" s="4"/>
    </row>
    <row r="379" spans="12:13" ht="10.199999999999999" customHeight="1" x14ac:dyDescent="0.25">
      <c r="L379" s="4"/>
      <c r="M379" s="4"/>
    </row>
    <row r="380" spans="12:13" ht="10.199999999999999" customHeight="1" x14ac:dyDescent="0.25">
      <c r="L380" s="4"/>
      <c r="M380" s="4"/>
    </row>
    <row r="381" spans="12:13" ht="10.199999999999999" customHeight="1" x14ac:dyDescent="0.25">
      <c r="L381" s="4"/>
      <c r="M381" s="4"/>
    </row>
    <row r="382" spans="12:13" ht="10.199999999999999" customHeight="1" x14ac:dyDescent="0.25">
      <c r="L382" s="4"/>
      <c r="M382" s="4"/>
    </row>
    <row r="383" spans="12:13" ht="10.199999999999999" customHeight="1" x14ac:dyDescent="0.25">
      <c r="L383" s="4"/>
      <c r="M383" s="4"/>
    </row>
    <row r="384" spans="12:13" ht="10.199999999999999" customHeight="1" x14ac:dyDescent="0.25">
      <c r="L384" s="4"/>
      <c r="M384" s="4"/>
    </row>
    <row r="385" spans="12:13" ht="10.199999999999999" customHeight="1" x14ac:dyDescent="0.25">
      <c r="L385" s="4"/>
      <c r="M385" s="4"/>
    </row>
    <row r="386" spans="12:13" ht="10.199999999999999" customHeight="1" x14ac:dyDescent="0.25">
      <c r="L386" s="4"/>
      <c r="M386" s="4"/>
    </row>
    <row r="387" spans="12:13" ht="10.199999999999999" customHeight="1" x14ac:dyDescent="0.25">
      <c r="L387" s="4"/>
      <c r="M387" s="4"/>
    </row>
    <row r="388" spans="12:13" ht="10.199999999999999" customHeight="1" x14ac:dyDescent="0.25">
      <c r="L388" s="4"/>
      <c r="M388" s="4"/>
    </row>
    <row r="389" spans="12:13" ht="10.199999999999999" customHeight="1" x14ac:dyDescent="0.25">
      <c r="L389" s="4"/>
      <c r="M389" s="4"/>
    </row>
    <row r="390" spans="12:13" ht="10.199999999999999" customHeight="1" x14ac:dyDescent="0.25">
      <c r="L390" s="4"/>
      <c r="M390" s="4"/>
    </row>
    <row r="391" spans="12:13" ht="10.199999999999999" customHeight="1" x14ac:dyDescent="0.25">
      <c r="L391" s="4"/>
      <c r="M391" s="4"/>
    </row>
    <row r="392" spans="12:13" ht="10.199999999999999" customHeight="1" x14ac:dyDescent="0.25">
      <c r="L392" s="4"/>
      <c r="M392" s="4"/>
    </row>
    <row r="393" spans="12:13" ht="10.199999999999999" customHeight="1" x14ac:dyDescent="0.25">
      <c r="L393" s="4"/>
      <c r="M393" s="4"/>
    </row>
    <row r="394" spans="12:13" ht="10.199999999999999" customHeight="1" x14ac:dyDescent="0.25">
      <c r="L394" s="4"/>
      <c r="M394" s="4"/>
    </row>
    <row r="395" spans="12:13" ht="10.199999999999999" customHeight="1" x14ac:dyDescent="0.25">
      <c r="L395" s="4"/>
      <c r="M395" s="4"/>
    </row>
    <row r="396" spans="12:13" ht="10.199999999999999" customHeight="1" x14ac:dyDescent="0.25">
      <c r="L396" s="4"/>
      <c r="M396" s="4"/>
    </row>
    <row r="397" spans="12:13" ht="10.199999999999999" customHeight="1" x14ac:dyDescent="0.25">
      <c r="L397" s="4"/>
      <c r="M397" s="4"/>
    </row>
    <row r="398" spans="12:13" ht="10.199999999999999" customHeight="1" x14ac:dyDescent="0.25">
      <c r="L398" s="4"/>
      <c r="M398" s="4"/>
    </row>
    <row r="399" spans="12:13" ht="10.199999999999999" customHeight="1" x14ac:dyDescent="0.25">
      <c r="L399" s="4"/>
      <c r="M399" s="4"/>
    </row>
    <row r="400" spans="12:13" ht="10.199999999999999" customHeight="1" x14ac:dyDescent="0.25">
      <c r="L400" s="4"/>
      <c r="M400" s="4"/>
    </row>
    <row r="401" spans="12:13" ht="10.199999999999999" customHeight="1" x14ac:dyDescent="0.25">
      <c r="L401" s="4"/>
      <c r="M401" s="4"/>
    </row>
    <row r="402" spans="12:13" ht="10.199999999999999" customHeight="1" x14ac:dyDescent="0.25">
      <c r="L402" s="4"/>
      <c r="M402" s="4"/>
    </row>
    <row r="403" spans="12:13" ht="10.199999999999999" customHeight="1" x14ac:dyDescent="0.25">
      <c r="L403" s="4"/>
      <c r="M403" s="4"/>
    </row>
    <row r="404" spans="12:13" ht="10.199999999999999" customHeight="1" x14ac:dyDescent="0.25">
      <c r="L404" s="4"/>
      <c r="M404" s="4"/>
    </row>
    <row r="405" spans="12:13" ht="10.199999999999999" customHeight="1" x14ac:dyDescent="0.25">
      <c r="L405" s="4"/>
      <c r="M405" s="4"/>
    </row>
    <row r="406" spans="12:13" ht="10.199999999999999" customHeight="1" x14ac:dyDescent="0.25">
      <c r="L406" s="4"/>
      <c r="M406" s="4"/>
    </row>
    <row r="407" spans="12:13" ht="10.199999999999999" customHeight="1" x14ac:dyDescent="0.25">
      <c r="L407" s="4"/>
      <c r="M407" s="4"/>
    </row>
    <row r="408" spans="12:13" ht="10.199999999999999" customHeight="1" x14ac:dyDescent="0.25">
      <c r="L408" s="4"/>
      <c r="M408" s="4"/>
    </row>
    <row r="409" spans="12:13" ht="10.199999999999999" customHeight="1" x14ac:dyDescent="0.25">
      <c r="L409" s="4"/>
      <c r="M409" s="4"/>
    </row>
    <row r="410" spans="12:13" ht="10.199999999999999" customHeight="1" x14ac:dyDescent="0.25">
      <c r="L410" s="4"/>
      <c r="M410" s="4"/>
    </row>
    <row r="411" spans="12:13" ht="10.199999999999999" customHeight="1" x14ac:dyDescent="0.25">
      <c r="L411" s="4"/>
      <c r="M411" s="4"/>
    </row>
    <row r="412" spans="12:13" ht="10.199999999999999" customHeight="1" x14ac:dyDescent="0.25">
      <c r="L412" s="4"/>
      <c r="M412" s="4"/>
    </row>
    <row r="413" spans="12:13" ht="10.199999999999999" customHeight="1" x14ac:dyDescent="0.25">
      <c r="L413" s="4"/>
      <c r="M413" s="4"/>
    </row>
    <row r="414" spans="12:13" ht="10.199999999999999" customHeight="1" x14ac:dyDescent="0.25">
      <c r="L414" s="4"/>
      <c r="M414" s="4"/>
    </row>
    <row r="415" spans="12:13" ht="10.199999999999999" customHeight="1" x14ac:dyDescent="0.25">
      <c r="L415" s="4"/>
      <c r="M415" s="4"/>
    </row>
    <row r="416" spans="12:13" ht="10.199999999999999" customHeight="1" x14ac:dyDescent="0.25">
      <c r="L416" s="4"/>
      <c r="M416" s="4"/>
    </row>
    <row r="417" spans="12:13" ht="10.199999999999999" customHeight="1" x14ac:dyDescent="0.25">
      <c r="L417" s="4"/>
      <c r="M417" s="4"/>
    </row>
    <row r="418" spans="12:13" ht="10.199999999999999" customHeight="1" x14ac:dyDescent="0.25">
      <c r="L418" s="4"/>
      <c r="M418" s="4"/>
    </row>
    <row r="419" spans="12:13" ht="10.199999999999999" customHeight="1" x14ac:dyDescent="0.25">
      <c r="L419" s="4"/>
      <c r="M419" s="4"/>
    </row>
    <row r="420" spans="12:13" ht="10.199999999999999" customHeight="1" x14ac:dyDescent="0.25">
      <c r="L420" s="4"/>
      <c r="M420" s="4"/>
    </row>
    <row r="421" spans="12:13" ht="10.199999999999999" customHeight="1" x14ac:dyDescent="0.25">
      <c r="L421" s="4"/>
      <c r="M421" s="4"/>
    </row>
    <row r="422" spans="12:13" ht="10.199999999999999" customHeight="1" x14ac:dyDescent="0.25">
      <c r="L422" s="4"/>
      <c r="M422" s="4"/>
    </row>
    <row r="423" spans="12:13" ht="10.199999999999999" customHeight="1" x14ac:dyDescent="0.25">
      <c r="L423" s="4"/>
      <c r="M423" s="4"/>
    </row>
    <row r="424" spans="12:13" ht="10.199999999999999" customHeight="1" x14ac:dyDescent="0.25">
      <c r="L424" s="4"/>
      <c r="M424" s="4"/>
    </row>
    <row r="425" spans="12:13" ht="10.199999999999999" customHeight="1" x14ac:dyDescent="0.25">
      <c r="L425" s="4"/>
      <c r="M425" s="4"/>
    </row>
    <row r="426" spans="12:13" ht="10.199999999999999" customHeight="1" x14ac:dyDescent="0.25">
      <c r="L426" s="4"/>
      <c r="M426" s="4"/>
    </row>
    <row r="427" spans="12:13" ht="10.199999999999999" customHeight="1" x14ac:dyDescent="0.25">
      <c r="L427" s="4"/>
      <c r="M427" s="4"/>
    </row>
    <row r="428" spans="12:13" ht="10.199999999999999" customHeight="1" x14ac:dyDescent="0.25">
      <c r="L428" s="4"/>
      <c r="M428" s="4"/>
    </row>
    <row r="429" spans="12:13" ht="10.199999999999999" customHeight="1" x14ac:dyDescent="0.25">
      <c r="L429" s="4"/>
      <c r="M429" s="4"/>
    </row>
    <row r="430" spans="12:13" ht="10.199999999999999" customHeight="1" x14ac:dyDescent="0.25">
      <c r="L430" s="4"/>
      <c r="M430" s="4"/>
    </row>
    <row r="431" spans="12:13" ht="10.199999999999999" customHeight="1" x14ac:dyDescent="0.25">
      <c r="L431" s="4"/>
      <c r="M431" s="4"/>
    </row>
    <row r="432" spans="12:13" ht="10.199999999999999" customHeight="1" x14ac:dyDescent="0.25">
      <c r="L432" s="4"/>
      <c r="M432" s="4"/>
    </row>
    <row r="433" spans="12:13" ht="10.199999999999999" customHeight="1" x14ac:dyDescent="0.25">
      <c r="L433" s="4"/>
      <c r="M433" s="4"/>
    </row>
    <row r="434" spans="12:13" ht="10.199999999999999" customHeight="1" x14ac:dyDescent="0.25">
      <c r="L434" s="4"/>
      <c r="M434" s="4"/>
    </row>
    <row r="435" spans="12:13" ht="10.199999999999999" customHeight="1" x14ac:dyDescent="0.25">
      <c r="L435" s="4"/>
      <c r="M435" s="4"/>
    </row>
    <row r="436" spans="12:13" ht="10.199999999999999" customHeight="1" x14ac:dyDescent="0.25">
      <c r="L436" s="4"/>
      <c r="M436" s="4"/>
    </row>
    <row r="437" spans="12:13" ht="10.199999999999999" customHeight="1" x14ac:dyDescent="0.25">
      <c r="L437" s="4"/>
      <c r="M437" s="4"/>
    </row>
    <row r="438" spans="12:13" ht="10.199999999999999" customHeight="1" x14ac:dyDescent="0.25">
      <c r="L438" s="4"/>
      <c r="M438" s="4"/>
    </row>
    <row r="439" spans="12:13" ht="10.199999999999999" customHeight="1" x14ac:dyDescent="0.25">
      <c r="L439" s="4"/>
      <c r="M439" s="4"/>
    </row>
    <row r="440" spans="12:13" ht="10.199999999999999" customHeight="1" x14ac:dyDescent="0.25">
      <c r="L440" s="4"/>
      <c r="M440" s="4"/>
    </row>
    <row r="441" spans="12:13" ht="10.199999999999999" customHeight="1" x14ac:dyDescent="0.25">
      <c r="L441" s="4"/>
      <c r="M441" s="4"/>
    </row>
    <row r="442" spans="12:13" ht="10.199999999999999" customHeight="1" x14ac:dyDescent="0.25">
      <c r="L442" s="4"/>
      <c r="M442" s="4"/>
    </row>
    <row r="443" spans="12:13" ht="10.199999999999999" customHeight="1" x14ac:dyDescent="0.25">
      <c r="L443" s="4"/>
      <c r="M443" s="4"/>
    </row>
    <row r="444" spans="12:13" ht="10.199999999999999" customHeight="1" x14ac:dyDescent="0.25">
      <c r="L444" s="4"/>
      <c r="M444" s="4"/>
    </row>
    <row r="445" spans="12:13" ht="10.199999999999999" customHeight="1" x14ac:dyDescent="0.25">
      <c r="L445" s="4"/>
      <c r="M445" s="4"/>
    </row>
    <row r="446" spans="12:13" ht="10.199999999999999" customHeight="1" x14ac:dyDescent="0.25">
      <c r="L446" s="4"/>
      <c r="M446" s="4"/>
    </row>
    <row r="447" spans="12:13" ht="10.199999999999999" customHeight="1" x14ac:dyDescent="0.25">
      <c r="L447" s="4"/>
      <c r="M447" s="4"/>
    </row>
    <row r="448" spans="12:13" ht="10.199999999999999" customHeight="1" x14ac:dyDescent="0.25">
      <c r="L448" s="4"/>
      <c r="M448" s="4"/>
    </row>
    <row r="449" spans="12:13" ht="10.199999999999999" customHeight="1" x14ac:dyDescent="0.25">
      <c r="L449" s="4"/>
      <c r="M449" s="4"/>
    </row>
    <row r="450" spans="12:13" ht="10.199999999999999" customHeight="1" x14ac:dyDescent="0.25">
      <c r="L450" s="4"/>
      <c r="M450" s="4"/>
    </row>
    <row r="451" spans="12:13" ht="10.199999999999999" customHeight="1" x14ac:dyDescent="0.25">
      <c r="L451" s="4"/>
      <c r="M451" s="4"/>
    </row>
    <row r="452" spans="12:13" ht="10.199999999999999" customHeight="1" x14ac:dyDescent="0.25">
      <c r="L452" s="4"/>
      <c r="M452" s="4"/>
    </row>
    <row r="453" spans="12:13" ht="10.199999999999999" customHeight="1" x14ac:dyDescent="0.25">
      <c r="L453" s="4"/>
      <c r="M453" s="4"/>
    </row>
    <row r="454" spans="12:13" ht="10.199999999999999" customHeight="1" x14ac:dyDescent="0.25">
      <c r="L454" s="4"/>
      <c r="M454" s="4"/>
    </row>
    <row r="455" spans="12:13" ht="10.199999999999999" customHeight="1" x14ac:dyDescent="0.25">
      <c r="L455" s="4"/>
      <c r="M455" s="4"/>
    </row>
    <row r="456" spans="12:13" ht="10.199999999999999" customHeight="1" x14ac:dyDescent="0.25">
      <c r="L456" s="4"/>
      <c r="M456" s="4"/>
    </row>
    <row r="457" spans="12:13" ht="10.199999999999999" customHeight="1" x14ac:dyDescent="0.25">
      <c r="L457" s="4"/>
      <c r="M457" s="4"/>
    </row>
    <row r="458" spans="12:13" ht="10.199999999999999" customHeight="1" x14ac:dyDescent="0.25">
      <c r="L458" s="4"/>
      <c r="M458" s="4"/>
    </row>
    <row r="459" spans="12:13" ht="10.199999999999999" customHeight="1" x14ac:dyDescent="0.25">
      <c r="L459" s="4"/>
      <c r="M459" s="4"/>
    </row>
    <row r="460" spans="12:13" ht="10.199999999999999" customHeight="1" x14ac:dyDescent="0.25">
      <c r="L460" s="4"/>
      <c r="M460" s="4"/>
    </row>
    <row r="461" spans="12:13" ht="10.199999999999999" customHeight="1" x14ac:dyDescent="0.25">
      <c r="L461" s="4"/>
      <c r="M461" s="4"/>
    </row>
    <row r="462" spans="12:13" ht="10.199999999999999" customHeight="1" x14ac:dyDescent="0.25">
      <c r="L462" s="4"/>
      <c r="M462" s="4"/>
    </row>
    <row r="463" spans="12:13" ht="10.199999999999999" customHeight="1" x14ac:dyDescent="0.25">
      <c r="L463" s="4"/>
      <c r="M463" s="4"/>
    </row>
    <row r="464" spans="12:13" ht="10.199999999999999" customHeight="1" x14ac:dyDescent="0.25">
      <c r="L464" s="4"/>
      <c r="M464" s="4"/>
    </row>
    <row r="465" spans="12:13" ht="10.199999999999999" customHeight="1" x14ac:dyDescent="0.25">
      <c r="L465" s="4"/>
      <c r="M465" s="4"/>
    </row>
    <row r="466" spans="12:13" ht="10.199999999999999" customHeight="1" x14ac:dyDescent="0.25">
      <c r="L466" s="4"/>
      <c r="M466" s="4"/>
    </row>
    <row r="467" spans="12:13" ht="10.199999999999999" customHeight="1" x14ac:dyDescent="0.25">
      <c r="L467" s="4"/>
      <c r="M467" s="4"/>
    </row>
    <row r="468" spans="12:13" ht="10.199999999999999" customHeight="1" x14ac:dyDescent="0.25">
      <c r="L468" s="4"/>
      <c r="M468" s="4"/>
    </row>
    <row r="469" spans="12:13" ht="10.199999999999999" customHeight="1" x14ac:dyDescent="0.25">
      <c r="L469" s="4"/>
      <c r="M469" s="4"/>
    </row>
    <row r="470" spans="12:13" ht="10.199999999999999" customHeight="1" x14ac:dyDescent="0.25">
      <c r="L470" s="4"/>
      <c r="M470" s="4"/>
    </row>
    <row r="471" spans="12:13" ht="10.199999999999999" customHeight="1" x14ac:dyDescent="0.25">
      <c r="L471" s="4"/>
      <c r="M471" s="4"/>
    </row>
    <row r="472" spans="12:13" ht="10.199999999999999" customHeight="1" x14ac:dyDescent="0.25">
      <c r="L472" s="4"/>
      <c r="M472" s="4"/>
    </row>
    <row r="473" spans="12:13" ht="10.199999999999999" customHeight="1" x14ac:dyDescent="0.25">
      <c r="L473" s="4"/>
      <c r="M473" s="4"/>
    </row>
    <row r="474" spans="12:13" ht="10.199999999999999" customHeight="1" x14ac:dyDescent="0.25">
      <c r="L474" s="4"/>
      <c r="M474" s="4"/>
    </row>
    <row r="475" spans="12:13" ht="10.199999999999999" customHeight="1" x14ac:dyDescent="0.25">
      <c r="L475" s="4"/>
      <c r="M475" s="4"/>
    </row>
    <row r="476" spans="12:13" ht="10.199999999999999" customHeight="1" x14ac:dyDescent="0.25">
      <c r="L476" s="4"/>
      <c r="M476" s="4"/>
    </row>
    <row r="477" spans="12:13" ht="10.199999999999999" customHeight="1" x14ac:dyDescent="0.25">
      <c r="L477" s="4"/>
      <c r="M477" s="4"/>
    </row>
    <row r="478" spans="12:13" ht="10.199999999999999" customHeight="1" x14ac:dyDescent="0.25">
      <c r="L478" s="4"/>
      <c r="M478" s="4"/>
    </row>
    <row r="479" spans="12:13" ht="10.199999999999999" customHeight="1" x14ac:dyDescent="0.25">
      <c r="L479" s="4"/>
      <c r="M479" s="4"/>
    </row>
    <row r="480" spans="12:13" ht="10.199999999999999" customHeight="1" x14ac:dyDescent="0.25">
      <c r="L480" s="4"/>
      <c r="M480" s="4"/>
    </row>
    <row r="481" spans="12:13" ht="10.199999999999999" customHeight="1" x14ac:dyDescent="0.25">
      <c r="L481" s="4"/>
      <c r="M481" s="4"/>
    </row>
    <row r="482" spans="12:13" ht="10.199999999999999" customHeight="1" x14ac:dyDescent="0.25">
      <c r="L482" s="4"/>
      <c r="M482" s="4"/>
    </row>
    <row r="483" spans="12:13" ht="10.199999999999999" customHeight="1" x14ac:dyDescent="0.25">
      <c r="L483" s="4"/>
      <c r="M483" s="4"/>
    </row>
    <row r="484" spans="12:13" ht="10.199999999999999" customHeight="1" x14ac:dyDescent="0.25">
      <c r="L484" s="4"/>
      <c r="M484" s="4"/>
    </row>
    <row r="485" spans="12:13" ht="10.199999999999999" customHeight="1" x14ac:dyDescent="0.25">
      <c r="L485" s="4"/>
      <c r="M485" s="4"/>
    </row>
    <row r="486" spans="12:13" ht="10.199999999999999" customHeight="1" x14ac:dyDescent="0.25">
      <c r="L486" s="4"/>
      <c r="M486" s="4"/>
    </row>
    <row r="487" spans="12:13" ht="10.199999999999999" customHeight="1" x14ac:dyDescent="0.25">
      <c r="L487" s="4"/>
      <c r="M487" s="4"/>
    </row>
    <row r="488" spans="12:13" ht="10.199999999999999" customHeight="1" x14ac:dyDescent="0.25">
      <c r="L488" s="4"/>
      <c r="M488" s="4"/>
    </row>
    <row r="489" spans="12:13" ht="10.199999999999999" customHeight="1" x14ac:dyDescent="0.25">
      <c r="L489" s="4"/>
      <c r="M489" s="4"/>
    </row>
    <row r="490" spans="12:13" ht="10.199999999999999" customHeight="1" x14ac:dyDescent="0.25">
      <c r="L490" s="4"/>
      <c r="M490" s="4"/>
    </row>
    <row r="491" spans="12:13" ht="10.199999999999999" customHeight="1" x14ac:dyDescent="0.25">
      <c r="L491" s="4"/>
      <c r="M491" s="4"/>
    </row>
    <row r="492" spans="12:13" ht="10.199999999999999" customHeight="1" x14ac:dyDescent="0.25">
      <c r="L492" s="4"/>
      <c r="M492" s="4"/>
    </row>
    <row r="493" spans="12:13" ht="10.199999999999999" customHeight="1" x14ac:dyDescent="0.25">
      <c r="L493" s="4"/>
      <c r="M493" s="4"/>
    </row>
    <row r="494" spans="12:13" ht="10.199999999999999" customHeight="1" x14ac:dyDescent="0.25">
      <c r="L494" s="4"/>
      <c r="M494" s="4"/>
    </row>
    <row r="495" spans="12:13" ht="10.199999999999999" customHeight="1" x14ac:dyDescent="0.25">
      <c r="L495" s="4"/>
      <c r="M495" s="4"/>
    </row>
    <row r="496" spans="12:13" ht="10.199999999999999" customHeight="1" x14ac:dyDescent="0.25">
      <c r="L496" s="4"/>
      <c r="M496" s="4"/>
    </row>
    <row r="497" spans="12:13" ht="10.199999999999999" customHeight="1" x14ac:dyDescent="0.25">
      <c r="L497" s="4"/>
      <c r="M497" s="4"/>
    </row>
    <row r="498" spans="12:13" ht="10.199999999999999" customHeight="1" x14ac:dyDescent="0.25">
      <c r="L498" s="4"/>
      <c r="M498" s="4"/>
    </row>
    <row r="499" spans="12:13" ht="10.199999999999999" customHeight="1" x14ac:dyDescent="0.25">
      <c r="L499" s="4"/>
      <c r="M499" s="4"/>
    </row>
    <row r="500" spans="12:13" ht="10.199999999999999" customHeight="1" x14ac:dyDescent="0.25">
      <c r="L500" s="4"/>
      <c r="M500" s="4"/>
    </row>
    <row r="501" spans="12:13" ht="10.199999999999999" customHeight="1" x14ac:dyDescent="0.25">
      <c r="L501" s="4"/>
      <c r="M501" s="4"/>
    </row>
    <row r="502" spans="12:13" ht="10.199999999999999" customHeight="1" x14ac:dyDescent="0.25">
      <c r="L502" s="4"/>
      <c r="M502" s="4"/>
    </row>
    <row r="503" spans="12:13" ht="10.199999999999999" customHeight="1" x14ac:dyDescent="0.25">
      <c r="L503" s="4"/>
      <c r="M503" s="4"/>
    </row>
    <row r="504" spans="12:13" ht="10.199999999999999" customHeight="1" x14ac:dyDescent="0.25">
      <c r="L504" s="4"/>
      <c r="M504" s="4"/>
    </row>
    <row r="505" spans="12:13" ht="10.199999999999999" customHeight="1" x14ac:dyDescent="0.25">
      <c r="L505" s="4"/>
      <c r="M505" s="4"/>
    </row>
    <row r="506" spans="12:13" ht="10.199999999999999" customHeight="1" x14ac:dyDescent="0.25">
      <c r="L506" s="4"/>
      <c r="M506" s="4"/>
    </row>
    <row r="507" spans="12:13" ht="10.199999999999999" customHeight="1" x14ac:dyDescent="0.25">
      <c r="L507" s="4"/>
      <c r="M507" s="4"/>
    </row>
    <row r="508" spans="12:13" ht="10.199999999999999" customHeight="1" x14ac:dyDescent="0.25">
      <c r="L508" s="4"/>
      <c r="M508" s="4"/>
    </row>
    <row r="509" spans="12:13" ht="10.199999999999999" customHeight="1" x14ac:dyDescent="0.25">
      <c r="L509" s="4"/>
      <c r="M509" s="4"/>
    </row>
    <row r="510" spans="12:13" ht="10.199999999999999" customHeight="1" x14ac:dyDescent="0.25">
      <c r="L510" s="4"/>
      <c r="M510" s="4"/>
    </row>
    <row r="511" spans="12:13" ht="10.199999999999999" customHeight="1" x14ac:dyDescent="0.25">
      <c r="L511" s="4"/>
      <c r="M511" s="4"/>
    </row>
    <row r="512" spans="12:13" ht="10.199999999999999" customHeight="1" x14ac:dyDescent="0.25">
      <c r="L512" s="4"/>
      <c r="M512" s="4"/>
    </row>
    <row r="513" spans="12:13" ht="10.199999999999999" customHeight="1" x14ac:dyDescent="0.25">
      <c r="L513" s="4"/>
      <c r="M513" s="4"/>
    </row>
    <row r="514" spans="12:13" ht="10.199999999999999" customHeight="1" x14ac:dyDescent="0.25">
      <c r="L514" s="4"/>
      <c r="M514" s="4"/>
    </row>
    <row r="515" spans="12:13" ht="10.199999999999999" customHeight="1" x14ac:dyDescent="0.25">
      <c r="L515" s="4"/>
      <c r="M515" s="4"/>
    </row>
    <row r="516" spans="12:13" ht="10.199999999999999" customHeight="1" x14ac:dyDescent="0.25">
      <c r="L516" s="4"/>
      <c r="M516" s="4"/>
    </row>
    <row r="517" spans="12:13" ht="10.199999999999999" customHeight="1" x14ac:dyDescent="0.25">
      <c r="L517" s="4"/>
      <c r="M517" s="4"/>
    </row>
    <row r="518" spans="12:13" ht="10.199999999999999" customHeight="1" x14ac:dyDescent="0.25">
      <c r="L518" s="4"/>
      <c r="M518" s="4"/>
    </row>
    <row r="519" spans="12:13" ht="10.199999999999999" customHeight="1" x14ac:dyDescent="0.25">
      <c r="L519" s="4"/>
      <c r="M519" s="4"/>
    </row>
    <row r="520" spans="12:13" ht="10.199999999999999" customHeight="1" x14ac:dyDescent="0.25">
      <c r="L520" s="4"/>
      <c r="M520" s="4"/>
    </row>
    <row r="521" spans="12:13" ht="10.199999999999999" customHeight="1" x14ac:dyDescent="0.25">
      <c r="L521" s="4"/>
      <c r="M521" s="4"/>
    </row>
    <row r="522" spans="12:13" ht="10.199999999999999" customHeight="1" x14ac:dyDescent="0.25">
      <c r="L522" s="4"/>
      <c r="M522" s="4"/>
    </row>
    <row r="523" spans="12:13" ht="10.199999999999999" customHeight="1" x14ac:dyDescent="0.25">
      <c r="L523" s="4"/>
      <c r="M523" s="4"/>
    </row>
    <row r="524" spans="12:13" ht="10.199999999999999" customHeight="1" x14ac:dyDescent="0.25">
      <c r="L524" s="4"/>
      <c r="M524" s="4"/>
    </row>
    <row r="525" spans="12:13" ht="10.199999999999999" customHeight="1" x14ac:dyDescent="0.25">
      <c r="L525" s="4"/>
      <c r="M525" s="4"/>
    </row>
    <row r="526" spans="12:13" ht="10.199999999999999" customHeight="1" x14ac:dyDescent="0.25">
      <c r="L526" s="4"/>
      <c r="M526" s="4"/>
    </row>
    <row r="527" spans="12:13" ht="10.199999999999999" customHeight="1" x14ac:dyDescent="0.25">
      <c r="L527" s="4"/>
      <c r="M527" s="4"/>
    </row>
    <row r="528" spans="12:13" ht="10.199999999999999" customHeight="1" x14ac:dyDescent="0.25">
      <c r="L528" s="4"/>
      <c r="M528" s="4"/>
    </row>
    <row r="529" spans="12:13" ht="10.199999999999999" customHeight="1" x14ac:dyDescent="0.25">
      <c r="L529" s="4"/>
      <c r="M529" s="4"/>
    </row>
    <row r="530" spans="12:13" ht="10.199999999999999" customHeight="1" x14ac:dyDescent="0.25">
      <c r="L530" s="4"/>
      <c r="M530" s="4"/>
    </row>
    <row r="531" spans="12:13" ht="10.199999999999999" customHeight="1" x14ac:dyDescent="0.25">
      <c r="L531" s="4"/>
      <c r="M531" s="4"/>
    </row>
    <row r="532" spans="12:13" ht="10.199999999999999" customHeight="1" x14ac:dyDescent="0.25">
      <c r="L532" s="4"/>
      <c r="M532" s="4"/>
    </row>
    <row r="533" spans="12:13" ht="10.199999999999999" customHeight="1" x14ac:dyDescent="0.25">
      <c r="L533" s="4"/>
      <c r="M533" s="4"/>
    </row>
    <row r="534" spans="12:13" ht="10.199999999999999" customHeight="1" x14ac:dyDescent="0.25">
      <c r="L534" s="4"/>
      <c r="M534" s="4"/>
    </row>
    <row r="535" spans="12:13" ht="10.199999999999999" customHeight="1" x14ac:dyDescent="0.25">
      <c r="L535" s="4"/>
      <c r="M535" s="4"/>
    </row>
    <row r="536" spans="12:13" ht="10.199999999999999" customHeight="1" x14ac:dyDescent="0.25">
      <c r="L536" s="4"/>
      <c r="M536" s="4"/>
    </row>
    <row r="537" spans="12:13" ht="10.199999999999999" customHeight="1" x14ac:dyDescent="0.25">
      <c r="L537" s="4"/>
      <c r="M537" s="4"/>
    </row>
    <row r="538" spans="12:13" ht="10.199999999999999" customHeight="1" x14ac:dyDescent="0.25">
      <c r="L538" s="4"/>
      <c r="M538" s="4"/>
    </row>
    <row r="539" spans="12:13" ht="10.199999999999999" customHeight="1" x14ac:dyDescent="0.25">
      <c r="L539" s="4"/>
      <c r="M539" s="4"/>
    </row>
    <row r="540" spans="12:13" ht="10.199999999999999" customHeight="1" x14ac:dyDescent="0.25">
      <c r="L540" s="4"/>
      <c r="M540" s="4"/>
    </row>
    <row r="541" spans="12:13" ht="10.199999999999999" customHeight="1" x14ac:dyDescent="0.25">
      <c r="L541" s="4"/>
      <c r="M541" s="4"/>
    </row>
    <row r="542" spans="12:13" ht="10.199999999999999" customHeight="1" x14ac:dyDescent="0.25">
      <c r="L542" s="4"/>
      <c r="M542" s="4"/>
    </row>
    <row r="543" spans="12:13" ht="10.199999999999999" customHeight="1" x14ac:dyDescent="0.25">
      <c r="L543" s="4"/>
      <c r="M543" s="4"/>
    </row>
    <row r="544" spans="12:13" ht="10.199999999999999" customHeight="1" x14ac:dyDescent="0.25">
      <c r="L544" s="4"/>
      <c r="M544" s="4"/>
    </row>
    <row r="545" spans="12:13" ht="10.199999999999999" customHeight="1" x14ac:dyDescent="0.25">
      <c r="L545" s="4"/>
      <c r="M545" s="4"/>
    </row>
    <row r="546" spans="12:13" ht="10.199999999999999" customHeight="1" x14ac:dyDescent="0.25">
      <c r="L546" s="4"/>
      <c r="M546" s="4"/>
    </row>
    <row r="547" spans="12:13" ht="10.199999999999999" customHeight="1" x14ac:dyDescent="0.25">
      <c r="L547" s="4"/>
      <c r="M547" s="4"/>
    </row>
    <row r="548" spans="12:13" ht="10.199999999999999" customHeight="1" x14ac:dyDescent="0.25">
      <c r="L548" s="4"/>
      <c r="M548" s="4"/>
    </row>
    <row r="549" spans="12:13" ht="10.199999999999999" customHeight="1" x14ac:dyDescent="0.25">
      <c r="L549" s="4"/>
      <c r="M549" s="4"/>
    </row>
    <row r="550" spans="12:13" ht="10.199999999999999" customHeight="1" x14ac:dyDescent="0.25">
      <c r="L550" s="4"/>
      <c r="M550" s="4"/>
    </row>
    <row r="551" spans="12:13" ht="10.199999999999999" customHeight="1" x14ac:dyDescent="0.25">
      <c r="L551" s="4"/>
      <c r="M551" s="4"/>
    </row>
    <row r="552" spans="12:13" ht="10.199999999999999" customHeight="1" x14ac:dyDescent="0.25">
      <c r="L552" s="4"/>
      <c r="M552" s="4"/>
    </row>
    <row r="553" spans="12:13" ht="10.199999999999999" customHeight="1" x14ac:dyDescent="0.25">
      <c r="L553" s="4"/>
      <c r="M553" s="4"/>
    </row>
    <row r="554" spans="12:13" ht="10.199999999999999" customHeight="1" x14ac:dyDescent="0.25">
      <c r="L554" s="4"/>
      <c r="M554" s="4"/>
    </row>
    <row r="555" spans="12:13" ht="10.199999999999999" customHeight="1" x14ac:dyDescent="0.25">
      <c r="L555" s="4"/>
      <c r="M555" s="4"/>
    </row>
    <row r="556" spans="12:13" ht="10.199999999999999" customHeight="1" x14ac:dyDescent="0.25">
      <c r="L556" s="4"/>
      <c r="M556" s="4"/>
    </row>
    <row r="557" spans="12:13" ht="10.199999999999999" customHeight="1" x14ac:dyDescent="0.25">
      <c r="L557" s="4"/>
      <c r="M557" s="4"/>
    </row>
    <row r="558" spans="12:13" ht="10.199999999999999" customHeight="1" x14ac:dyDescent="0.25">
      <c r="L558" s="4"/>
      <c r="M558" s="4"/>
    </row>
    <row r="559" spans="12:13" ht="10.199999999999999" customHeight="1" x14ac:dyDescent="0.25">
      <c r="L559" s="4"/>
      <c r="M559" s="4"/>
    </row>
    <row r="560" spans="12:13" ht="10.199999999999999" customHeight="1" x14ac:dyDescent="0.25">
      <c r="L560" s="4"/>
      <c r="M560" s="4"/>
    </row>
    <row r="561" spans="12:13" ht="10.199999999999999" customHeight="1" x14ac:dyDescent="0.25">
      <c r="L561" s="4"/>
      <c r="M561" s="4"/>
    </row>
    <row r="562" spans="12:13" ht="10.199999999999999" customHeight="1" x14ac:dyDescent="0.25">
      <c r="L562" s="4"/>
      <c r="M562" s="4"/>
    </row>
    <row r="563" spans="12:13" ht="10.199999999999999" customHeight="1" x14ac:dyDescent="0.25">
      <c r="L563" s="4"/>
      <c r="M563" s="4"/>
    </row>
    <row r="564" spans="12:13" ht="10.199999999999999" customHeight="1" x14ac:dyDescent="0.25">
      <c r="L564" s="4"/>
      <c r="M564" s="4"/>
    </row>
    <row r="565" spans="12:13" ht="10.199999999999999" customHeight="1" x14ac:dyDescent="0.25">
      <c r="L565" s="4"/>
      <c r="M565" s="4"/>
    </row>
    <row r="566" spans="12:13" ht="10.199999999999999" customHeight="1" x14ac:dyDescent="0.25">
      <c r="L566" s="4"/>
      <c r="M566" s="4"/>
    </row>
    <row r="567" spans="12:13" ht="10.199999999999999" customHeight="1" x14ac:dyDescent="0.25">
      <c r="L567" s="4"/>
      <c r="M567" s="4"/>
    </row>
    <row r="568" spans="12:13" ht="10.199999999999999" customHeight="1" x14ac:dyDescent="0.25">
      <c r="L568" s="4"/>
      <c r="M568" s="4"/>
    </row>
    <row r="569" spans="12:13" ht="10.199999999999999" customHeight="1" x14ac:dyDescent="0.25">
      <c r="L569" s="4"/>
      <c r="M569" s="4"/>
    </row>
    <row r="570" spans="12:13" ht="10.199999999999999" customHeight="1" x14ac:dyDescent="0.25">
      <c r="L570" s="4"/>
      <c r="M570" s="4"/>
    </row>
    <row r="571" spans="12:13" ht="10.199999999999999" customHeight="1" x14ac:dyDescent="0.25">
      <c r="L571" s="4"/>
      <c r="M571" s="4"/>
    </row>
    <row r="572" spans="12:13" ht="10.199999999999999" customHeight="1" x14ac:dyDescent="0.25">
      <c r="L572" s="4"/>
      <c r="M572" s="4"/>
    </row>
    <row r="573" spans="12:13" ht="10.199999999999999" customHeight="1" x14ac:dyDescent="0.25">
      <c r="L573" s="4"/>
      <c r="M573" s="4"/>
    </row>
    <row r="574" spans="12:13" ht="10.199999999999999" customHeight="1" x14ac:dyDescent="0.25">
      <c r="L574" s="4"/>
      <c r="M574" s="4"/>
    </row>
    <row r="575" spans="12:13" ht="10.199999999999999" customHeight="1" x14ac:dyDescent="0.25">
      <c r="L575" s="4"/>
      <c r="M575" s="4"/>
    </row>
    <row r="576" spans="12:13" ht="10.199999999999999" customHeight="1" x14ac:dyDescent="0.25">
      <c r="L576" s="4"/>
      <c r="M576" s="4"/>
    </row>
    <row r="577" spans="12:13" ht="10.199999999999999" customHeight="1" x14ac:dyDescent="0.25">
      <c r="L577" s="4"/>
      <c r="M577" s="4"/>
    </row>
    <row r="578" spans="12:13" ht="10.199999999999999" customHeight="1" x14ac:dyDescent="0.25">
      <c r="L578" s="4"/>
      <c r="M578" s="4"/>
    </row>
    <row r="579" spans="12:13" ht="10.199999999999999" customHeight="1" x14ac:dyDescent="0.25">
      <c r="L579" s="4"/>
      <c r="M579" s="4"/>
    </row>
    <row r="580" spans="12:13" ht="10.199999999999999" customHeight="1" x14ac:dyDescent="0.25">
      <c r="L580" s="4"/>
      <c r="M580" s="4"/>
    </row>
    <row r="581" spans="12:13" ht="10.199999999999999" customHeight="1" x14ac:dyDescent="0.25">
      <c r="L581" s="4"/>
      <c r="M581" s="4"/>
    </row>
    <row r="582" spans="12:13" ht="10.199999999999999" customHeight="1" x14ac:dyDescent="0.25">
      <c r="L582" s="4"/>
      <c r="M582" s="4"/>
    </row>
    <row r="583" spans="12:13" ht="10.199999999999999" customHeight="1" x14ac:dyDescent="0.25">
      <c r="L583" s="4"/>
      <c r="M583" s="4"/>
    </row>
    <row r="584" spans="12:13" ht="10.199999999999999" customHeight="1" x14ac:dyDescent="0.25">
      <c r="L584" s="4"/>
      <c r="M584" s="4"/>
    </row>
    <row r="585" spans="12:13" ht="10.199999999999999" customHeight="1" x14ac:dyDescent="0.25">
      <c r="L585" s="4"/>
      <c r="M585" s="4"/>
    </row>
    <row r="586" spans="12:13" ht="10.199999999999999" customHeight="1" x14ac:dyDescent="0.25">
      <c r="L586" s="4"/>
      <c r="M586" s="4"/>
    </row>
    <row r="587" spans="12:13" ht="10.199999999999999" customHeight="1" x14ac:dyDescent="0.25">
      <c r="L587" s="4"/>
      <c r="M587" s="4"/>
    </row>
    <row r="588" spans="12:13" ht="10.199999999999999" customHeight="1" x14ac:dyDescent="0.25">
      <c r="L588" s="4"/>
      <c r="M588" s="4"/>
    </row>
    <row r="589" spans="12:13" ht="10.199999999999999" customHeight="1" x14ac:dyDescent="0.25">
      <c r="L589" s="4"/>
      <c r="M589" s="4"/>
    </row>
    <row r="590" spans="12:13" ht="10.199999999999999" customHeight="1" x14ac:dyDescent="0.25">
      <c r="L590" s="4"/>
      <c r="M590" s="4"/>
    </row>
    <row r="591" spans="12:13" ht="10.199999999999999" customHeight="1" x14ac:dyDescent="0.25">
      <c r="L591" s="4"/>
      <c r="M591" s="4"/>
    </row>
    <row r="592" spans="12:13" ht="10.199999999999999" customHeight="1" x14ac:dyDescent="0.25">
      <c r="L592" s="4"/>
      <c r="M592" s="4"/>
    </row>
    <row r="593" spans="12:13" ht="10.199999999999999" customHeight="1" x14ac:dyDescent="0.25">
      <c r="L593" s="4"/>
      <c r="M593" s="4"/>
    </row>
    <row r="594" spans="12:13" ht="10.199999999999999" customHeight="1" x14ac:dyDescent="0.25">
      <c r="L594" s="4"/>
      <c r="M594" s="4"/>
    </row>
    <row r="595" spans="12:13" ht="10.199999999999999" customHeight="1" x14ac:dyDescent="0.25">
      <c r="L595" s="4"/>
      <c r="M595" s="4"/>
    </row>
    <row r="596" spans="12:13" ht="10.199999999999999" customHeight="1" x14ac:dyDescent="0.25">
      <c r="L596" s="4"/>
      <c r="M596" s="4"/>
    </row>
    <row r="597" spans="12:13" ht="10.199999999999999" customHeight="1" x14ac:dyDescent="0.25">
      <c r="L597" s="4"/>
      <c r="M597" s="4"/>
    </row>
    <row r="598" spans="12:13" ht="10.199999999999999" customHeight="1" x14ac:dyDescent="0.25">
      <c r="L598" s="4"/>
      <c r="M598" s="4"/>
    </row>
    <row r="599" spans="12:13" ht="10.199999999999999" customHeight="1" x14ac:dyDescent="0.25">
      <c r="L599" s="4"/>
      <c r="M599" s="4"/>
    </row>
    <row r="600" spans="12:13" ht="10.199999999999999" customHeight="1" x14ac:dyDescent="0.25">
      <c r="L600" s="4"/>
      <c r="M600" s="4"/>
    </row>
    <row r="601" spans="12:13" ht="10.199999999999999" customHeight="1" x14ac:dyDescent="0.25">
      <c r="L601" s="4"/>
      <c r="M601" s="4"/>
    </row>
    <row r="602" spans="12:13" ht="10.199999999999999" customHeight="1" x14ac:dyDescent="0.25">
      <c r="L602" s="4"/>
      <c r="M602" s="4"/>
    </row>
    <row r="603" spans="12:13" ht="10.199999999999999" customHeight="1" x14ac:dyDescent="0.25">
      <c r="L603" s="4"/>
      <c r="M603" s="4"/>
    </row>
    <row r="604" spans="12:13" ht="10.199999999999999" customHeight="1" x14ac:dyDescent="0.25">
      <c r="L604" s="4"/>
      <c r="M604" s="4"/>
    </row>
    <row r="605" spans="12:13" ht="10.199999999999999" customHeight="1" x14ac:dyDescent="0.25">
      <c r="L605" s="4"/>
      <c r="M605" s="4"/>
    </row>
    <row r="606" spans="12:13" ht="10.199999999999999" customHeight="1" x14ac:dyDescent="0.25">
      <c r="L606" s="4"/>
      <c r="M606" s="4"/>
    </row>
    <row r="607" spans="12:13" ht="10.199999999999999" customHeight="1" x14ac:dyDescent="0.25">
      <c r="L607" s="4"/>
      <c r="M607" s="4"/>
    </row>
    <row r="608" spans="12:13" ht="10.199999999999999" customHeight="1" x14ac:dyDescent="0.25">
      <c r="L608" s="4"/>
      <c r="M608" s="4"/>
    </row>
    <row r="609" spans="12:13" ht="10.199999999999999" customHeight="1" x14ac:dyDescent="0.25">
      <c r="L609" s="4"/>
      <c r="M609" s="4"/>
    </row>
    <row r="610" spans="12:13" ht="10.199999999999999" customHeight="1" x14ac:dyDescent="0.25">
      <c r="L610" s="4"/>
      <c r="M610" s="4"/>
    </row>
    <row r="611" spans="12:13" ht="10.199999999999999" customHeight="1" x14ac:dyDescent="0.25">
      <c r="L611" s="4"/>
      <c r="M611" s="4"/>
    </row>
    <row r="612" spans="12:13" ht="10.199999999999999" customHeight="1" x14ac:dyDescent="0.25">
      <c r="L612" s="4"/>
      <c r="M612" s="4"/>
    </row>
    <row r="613" spans="12:13" ht="10.199999999999999" customHeight="1" x14ac:dyDescent="0.25">
      <c r="L613" s="4"/>
      <c r="M613" s="4"/>
    </row>
    <row r="614" spans="12:13" ht="10.199999999999999" customHeight="1" x14ac:dyDescent="0.25">
      <c r="L614" s="4"/>
      <c r="M614" s="4"/>
    </row>
    <row r="615" spans="12:13" ht="10.199999999999999" customHeight="1" x14ac:dyDescent="0.25">
      <c r="L615" s="4"/>
      <c r="M615" s="4"/>
    </row>
    <row r="616" spans="12:13" ht="10.199999999999999" customHeight="1" x14ac:dyDescent="0.25">
      <c r="L616" s="4"/>
      <c r="M616" s="4"/>
    </row>
    <row r="617" spans="12:13" ht="10.199999999999999" customHeight="1" x14ac:dyDescent="0.25">
      <c r="L617" s="4"/>
      <c r="M617" s="4"/>
    </row>
    <row r="618" spans="12:13" ht="10.199999999999999" customHeight="1" x14ac:dyDescent="0.25">
      <c r="L618" s="4"/>
      <c r="M618" s="4"/>
    </row>
    <row r="619" spans="12:13" ht="10.199999999999999" customHeight="1" x14ac:dyDescent="0.25">
      <c r="L619" s="4"/>
      <c r="M619" s="4"/>
    </row>
    <row r="620" spans="12:13" ht="10.199999999999999" customHeight="1" x14ac:dyDescent="0.25">
      <c r="L620" s="4"/>
      <c r="M620" s="4"/>
    </row>
    <row r="621" spans="12:13" ht="10.199999999999999" customHeight="1" x14ac:dyDescent="0.25">
      <c r="L621" s="4"/>
      <c r="M621" s="4"/>
    </row>
    <row r="622" spans="12:13" ht="10.199999999999999" customHeight="1" x14ac:dyDescent="0.25">
      <c r="L622" s="4"/>
      <c r="M622" s="4"/>
    </row>
    <row r="623" spans="12:13" ht="10.199999999999999" customHeight="1" x14ac:dyDescent="0.25">
      <c r="L623" s="4"/>
      <c r="M623" s="4"/>
    </row>
    <row r="624" spans="12:13" ht="10.199999999999999" customHeight="1" x14ac:dyDescent="0.25">
      <c r="L624" s="4"/>
      <c r="M624" s="4"/>
    </row>
    <row r="625" spans="12:13" ht="10.199999999999999" customHeight="1" x14ac:dyDescent="0.25">
      <c r="L625" s="4"/>
      <c r="M625" s="4"/>
    </row>
    <row r="626" spans="12:13" ht="10.199999999999999" customHeight="1" x14ac:dyDescent="0.25">
      <c r="L626" s="4"/>
      <c r="M626" s="4"/>
    </row>
    <row r="627" spans="12:13" ht="10.199999999999999" customHeight="1" x14ac:dyDescent="0.25">
      <c r="L627" s="4"/>
      <c r="M627" s="4"/>
    </row>
    <row r="628" spans="12:13" ht="10.199999999999999" customHeight="1" x14ac:dyDescent="0.25">
      <c r="L628" s="4"/>
      <c r="M628" s="4"/>
    </row>
    <row r="629" spans="12:13" ht="10.199999999999999" customHeight="1" x14ac:dyDescent="0.25">
      <c r="L629" s="4"/>
      <c r="M629" s="4"/>
    </row>
    <row r="630" spans="12:13" ht="10.199999999999999" customHeight="1" x14ac:dyDescent="0.25">
      <c r="L630" s="4"/>
      <c r="M630" s="4"/>
    </row>
    <row r="631" spans="12:13" ht="10.199999999999999" customHeight="1" x14ac:dyDescent="0.25">
      <c r="L631" s="4"/>
      <c r="M631" s="4"/>
    </row>
    <row r="632" spans="12:13" ht="10.199999999999999" customHeight="1" x14ac:dyDescent="0.25">
      <c r="L632" s="4"/>
      <c r="M632" s="4"/>
    </row>
    <row r="633" spans="12:13" ht="10.199999999999999" customHeight="1" x14ac:dyDescent="0.25">
      <c r="L633" s="4"/>
      <c r="M633" s="4"/>
    </row>
    <row r="634" spans="12:13" ht="10.199999999999999" customHeight="1" x14ac:dyDescent="0.25">
      <c r="L634" s="4"/>
      <c r="M634" s="4"/>
    </row>
    <row r="635" spans="12:13" ht="10.199999999999999" customHeight="1" x14ac:dyDescent="0.25">
      <c r="L635" s="4"/>
      <c r="M635" s="4"/>
    </row>
    <row r="636" spans="12:13" ht="10.199999999999999" customHeight="1" x14ac:dyDescent="0.25">
      <c r="L636" s="4"/>
      <c r="M636" s="4"/>
    </row>
    <row r="637" spans="12:13" ht="10.199999999999999" customHeight="1" x14ac:dyDescent="0.25">
      <c r="M637" s="4"/>
    </row>
    <row r="638" spans="12:13" ht="10.199999999999999" customHeight="1" x14ac:dyDescent="0.25">
      <c r="M638" s="4"/>
    </row>
    <row r="639" spans="12:13" ht="10.199999999999999" customHeight="1" x14ac:dyDescent="0.25">
      <c r="M639" s="4"/>
    </row>
    <row r="640" spans="12:13" ht="10.199999999999999" customHeight="1" x14ac:dyDescent="0.25">
      <c r="M640" s="4"/>
    </row>
    <row r="641" spans="13:13" ht="10.199999999999999" customHeight="1" x14ac:dyDescent="0.25">
      <c r="M641" s="4"/>
    </row>
    <row r="642" spans="13:13" ht="10.199999999999999" customHeight="1" x14ac:dyDescent="0.25">
      <c r="M642" s="4"/>
    </row>
    <row r="643" spans="13:13" ht="10.199999999999999" customHeight="1" x14ac:dyDescent="0.25">
      <c r="M643" s="4"/>
    </row>
    <row r="644" spans="13:13" ht="10.199999999999999" customHeight="1" x14ac:dyDescent="0.25">
      <c r="M644" s="4"/>
    </row>
    <row r="645" spans="13:13" ht="10.199999999999999" customHeight="1" x14ac:dyDescent="0.25">
      <c r="M645" s="4"/>
    </row>
    <row r="646" spans="13:13" ht="10.199999999999999" customHeight="1" x14ac:dyDescent="0.25">
      <c r="M646" s="4"/>
    </row>
    <row r="647" spans="13:13" ht="10.199999999999999" customHeight="1" x14ac:dyDescent="0.25">
      <c r="M647" s="4"/>
    </row>
    <row r="648" spans="13:13" ht="10.199999999999999" customHeight="1" x14ac:dyDescent="0.25">
      <c r="M648" s="4"/>
    </row>
    <row r="649" spans="13:13" ht="10.199999999999999" customHeight="1" x14ac:dyDescent="0.25">
      <c r="M649" s="4"/>
    </row>
    <row r="650" spans="13:13" ht="10.199999999999999" customHeight="1" x14ac:dyDescent="0.25">
      <c r="M650" s="4"/>
    </row>
    <row r="651" spans="13:13" ht="10.199999999999999" customHeight="1" x14ac:dyDescent="0.25">
      <c r="M651" s="4"/>
    </row>
    <row r="652" spans="13:13" ht="10.199999999999999" customHeight="1" x14ac:dyDescent="0.25">
      <c r="M652" s="4"/>
    </row>
    <row r="653" spans="13:13" ht="10.199999999999999" customHeight="1" x14ac:dyDescent="0.25">
      <c r="M653" s="4"/>
    </row>
    <row r="654" spans="13:13" ht="10.199999999999999" customHeight="1" x14ac:dyDescent="0.25">
      <c r="M654" s="4"/>
    </row>
    <row r="655" spans="13:13" ht="10.199999999999999" customHeight="1" x14ac:dyDescent="0.25">
      <c r="M655" s="4"/>
    </row>
    <row r="656" spans="13:13" ht="10.199999999999999" customHeight="1" x14ac:dyDescent="0.25">
      <c r="M656" s="4"/>
    </row>
    <row r="657" spans="13:13" ht="10.199999999999999" customHeight="1" x14ac:dyDescent="0.25">
      <c r="M657" s="4"/>
    </row>
    <row r="658" spans="13:13" ht="10.199999999999999" customHeight="1" x14ac:dyDescent="0.25">
      <c r="M658" s="4"/>
    </row>
    <row r="659" spans="13:13" ht="10.199999999999999" customHeight="1" x14ac:dyDescent="0.25">
      <c r="M659" s="4"/>
    </row>
    <row r="660" spans="13:13" ht="10.199999999999999" customHeight="1" x14ac:dyDescent="0.25">
      <c r="M660" s="4"/>
    </row>
    <row r="661" spans="13:13" ht="10.199999999999999" customHeight="1" x14ac:dyDescent="0.25">
      <c r="M661" s="4"/>
    </row>
    <row r="662" spans="13:13" ht="10.199999999999999" customHeight="1" x14ac:dyDescent="0.25">
      <c r="M662" s="4"/>
    </row>
    <row r="663" spans="13:13" ht="10.199999999999999" customHeight="1" x14ac:dyDescent="0.25">
      <c r="M663" s="4"/>
    </row>
    <row r="664" spans="13:13" ht="10.199999999999999" customHeight="1" x14ac:dyDescent="0.25">
      <c r="M664" s="4"/>
    </row>
    <row r="665" spans="13:13" ht="10.199999999999999" customHeight="1" x14ac:dyDescent="0.25">
      <c r="M665" s="4"/>
    </row>
    <row r="666" spans="13:13" ht="10.199999999999999" customHeight="1" x14ac:dyDescent="0.25">
      <c r="M666" s="4"/>
    </row>
    <row r="667" spans="13:13" ht="10.199999999999999" customHeight="1" x14ac:dyDescent="0.25">
      <c r="M667" s="4"/>
    </row>
    <row r="668" spans="13:13" ht="10.199999999999999" customHeight="1" x14ac:dyDescent="0.25">
      <c r="M668" s="4"/>
    </row>
    <row r="669" spans="13:13" ht="10.199999999999999" customHeight="1" x14ac:dyDescent="0.25">
      <c r="M669" s="4"/>
    </row>
    <row r="670" spans="13:13" ht="10.199999999999999" customHeight="1" x14ac:dyDescent="0.25">
      <c r="M670" s="4"/>
    </row>
    <row r="671" spans="13:13" ht="10.199999999999999" customHeight="1" x14ac:dyDescent="0.25">
      <c r="M671" s="4"/>
    </row>
    <row r="672" spans="13:13" ht="10.199999999999999" customHeight="1" x14ac:dyDescent="0.25">
      <c r="M672" s="4"/>
    </row>
    <row r="673" spans="13:13" ht="10.199999999999999" customHeight="1" x14ac:dyDescent="0.25">
      <c r="M673" s="4"/>
    </row>
    <row r="674" spans="13:13" ht="10.199999999999999" customHeight="1" x14ac:dyDescent="0.25">
      <c r="M674" s="4"/>
    </row>
    <row r="675" spans="13:13" ht="10.199999999999999" customHeight="1" x14ac:dyDescent="0.25">
      <c r="M675" s="4"/>
    </row>
    <row r="676" spans="13:13" ht="10.199999999999999" customHeight="1" x14ac:dyDescent="0.25">
      <c r="M676" s="4"/>
    </row>
    <row r="677" spans="13:13" ht="10.199999999999999" customHeight="1" x14ac:dyDescent="0.25">
      <c r="M677" s="4"/>
    </row>
    <row r="678" spans="13:13" ht="10.199999999999999" customHeight="1" x14ac:dyDescent="0.25">
      <c r="M678" s="4"/>
    </row>
    <row r="679" spans="13:13" ht="10.199999999999999" customHeight="1" x14ac:dyDescent="0.25">
      <c r="M679" s="4"/>
    </row>
    <row r="680" spans="13:13" ht="10.199999999999999" customHeight="1" x14ac:dyDescent="0.25">
      <c r="M680" s="4"/>
    </row>
    <row r="681" spans="13:13" ht="10.199999999999999" customHeight="1" x14ac:dyDescent="0.25">
      <c r="M681" s="4"/>
    </row>
    <row r="682" spans="13:13" ht="10.199999999999999" customHeight="1" x14ac:dyDescent="0.25">
      <c r="M682" s="4"/>
    </row>
    <row r="683" spans="13:13" ht="10.199999999999999" customHeight="1" x14ac:dyDescent="0.25">
      <c r="M683" s="4"/>
    </row>
    <row r="684" spans="13:13" ht="10.199999999999999" customHeight="1" x14ac:dyDescent="0.25">
      <c r="M684" s="4"/>
    </row>
    <row r="685" spans="13:13" ht="10.199999999999999" customHeight="1" x14ac:dyDescent="0.25">
      <c r="M685" s="4"/>
    </row>
    <row r="686" spans="13:13" ht="10.199999999999999" customHeight="1" x14ac:dyDescent="0.25">
      <c r="M686" s="4"/>
    </row>
    <row r="687" spans="13:13" ht="10.199999999999999" customHeight="1" x14ac:dyDescent="0.25">
      <c r="M687" s="4"/>
    </row>
    <row r="688" spans="13:13" ht="10.199999999999999" customHeight="1" x14ac:dyDescent="0.25">
      <c r="M688" s="4"/>
    </row>
    <row r="689" spans="13:13" ht="10.199999999999999" customHeight="1" x14ac:dyDescent="0.25">
      <c r="M689" s="4"/>
    </row>
    <row r="690" spans="13:13" ht="10.199999999999999" customHeight="1" x14ac:dyDescent="0.25">
      <c r="M690" s="4"/>
    </row>
    <row r="691" spans="13:13" ht="10.199999999999999" customHeight="1" x14ac:dyDescent="0.25">
      <c r="M691" s="4"/>
    </row>
    <row r="692" spans="13:13" ht="10.199999999999999" customHeight="1" x14ac:dyDescent="0.25">
      <c r="M692" s="4"/>
    </row>
    <row r="693" spans="13:13" ht="10.199999999999999" customHeight="1" x14ac:dyDescent="0.25">
      <c r="M693" s="4"/>
    </row>
    <row r="694" spans="13:13" ht="10.199999999999999" customHeight="1" x14ac:dyDescent="0.25">
      <c r="M694" s="4"/>
    </row>
    <row r="695" spans="13:13" ht="10.199999999999999" customHeight="1" x14ac:dyDescent="0.25">
      <c r="M695" s="4"/>
    </row>
    <row r="696" spans="13:13" ht="10.199999999999999" customHeight="1" x14ac:dyDescent="0.25">
      <c r="M696" s="4"/>
    </row>
    <row r="697" spans="13:13" ht="10.199999999999999" customHeight="1" x14ac:dyDescent="0.25">
      <c r="M697" s="4"/>
    </row>
    <row r="698" spans="13:13" ht="10.199999999999999" customHeight="1" x14ac:dyDescent="0.25">
      <c r="M698" s="4"/>
    </row>
    <row r="699" spans="13:13" ht="10.199999999999999" customHeight="1" x14ac:dyDescent="0.25">
      <c r="M699" s="4"/>
    </row>
    <row r="700" spans="13:13" ht="10.199999999999999" customHeight="1" x14ac:dyDescent="0.25">
      <c r="M700" s="4"/>
    </row>
    <row r="701" spans="13:13" ht="10.199999999999999" customHeight="1" x14ac:dyDescent="0.25">
      <c r="M701" s="4"/>
    </row>
    <row r="702" spans="13:13" ht="10.199999999999999" customHeight="1" x14ac:dyDescent="0.25">
      <c r="M702" s="4"/>
    </row>
    <row r="703" spans="13:13" ht="10.199999999999999" customHeight="1" x14ac:dyDescent="0.25">
      <c r="M703" s="4"/>
    </row>
    <row r="704" spans="13:13" ht="10.199999999999999" customHeight="1" x14ac:dyDescent="0.25">
      <c r="M704" s="4"/>
    </row>
    <row r="705" spans="13:13" ht="10.199999999999999" customHeight="1" x14ac:dyDescent="0.25">
      <c r="M705" s="4"/>
    </row>
    <row r="706" spans="13:13" ht="10.199999999999999" customHeight="1" x14ac:dyDescent="0.25">
      <c r="M706" s="4"/>
    </row>
    <row r="707" spans="13:13" ht="10.199999999999999" customHeight="1" x14ac:dyDescent="0.25">
      <c r="M707" s="4"/>
    </row>
    <row r="708" spans="13:13" ht="10.199999999999999" customHeight="1" x14ac:dyDescent="0.25">
      <c r="M708" s="4"/>
    </row>
    <row r="709" spans="13:13" ht="10.199999999999999" customHeight="1" x14ac:dyDescent="0.25">
      <c r="M709" s="4"/>
    </row>
    <row r="710" spans="13:13" ht="10.199999999999999" customHeight="1" x14ac:dyDescent="0.25">
      <c r="M710" s="4"/>
    </row>
    <row r="711" spans="13:13" ht="10.199999999999999" customHeight="1" x14ac:dyDescent="0.25">
      <c r="M711" s="4"/>
    </row>
    <row r="712" spans="13:13" ht="10.199999999999999" customHeight="1" x14ac:dyDescent="0.25">
      <c r="M712" s="4"/>
    </row>
    <row r="713" spans="13:13" ht="10.199999999999999" customHeight="1" x14ac:dyDescent="0.25">
      <c r="M713" s="4"/>
    </row>
    <row r="714" spans="13:13" ht="10.199999999999999" customHeight="1" x14ac:dyDescent="0.25">
      <c r="M714" s="4"/>
    </row>
    <row r="715" spans="13:13" ht="10.199999999999999" customHeight="1" x14ac:dyDescent="0.25">
      <c r="M715" s="4"/>
    </row>
    <row r="716" spans="13:13" ht="10.199999999999999" customHeight="1" x14ac:dyDescent="0.25">
      <c r="M716" s="4"/>
    </row>
    <row r="717" spans="13:13" ht="10.199999999999999" customHeight="1" x14ac:dyDescent="0.25">
      <c r="M717" s="4"/>
    </row>
    <row r="718" spans="13:13" ht="10.199999999999999" customHeight="1" x14ac:dyDescent="0.25">
      <c r="M718" s="4"/>
    </row>
    <row r="719" spans="13:13" ht="10.199999999999999" customHeight="1" x14ac:dyDescent="0.25">
      <c r="M719" s="4"/>
    </row>
    <row r="720" spans="13:13" ht="10.199999999999999" customHeight="1" x14ac:dyDescent="0.25">
      <c r="M720" s="4"/>
    </row>
    <row r="721" spans="13:13" ht="10.199999999999999" customHeight="1" x14ac:dyDescent="0.25">
      <c r="M721" s="4"/>
    </row>
    <row r="722" spans="13:13" ht="10.199999999999999" customHeight="1" x14ac:dyDescent="0.25">
      <c r="M722" s="4"/>
    </row>
    <row r="723" spans="13:13" ht="10.199999999999999" customHeight="1" x14ac:dyDescent="0.25">
      <c r="M723" s="4"/>
    </row>
    <row r="724" spans="13:13" ht="10.199999999999999" customHeight="1" x14ac:dyDescent="0.25">
      <c r="M724" s="4"/>
    </row>
    <row r="725" spans="13:13" ht="10.199999999999999" customHeight="1" x14ac:dyDescent="0.25">
      <c r="M725" s="4"/>
    </row>
    <row r="726" spans="13:13" ht="10.199999999999999" customHeight="1" x14ac:dyDescent="0.25">
      <c r="M726" s="4"/>
    </row>
    <row r="727" spans="13:13" ht="10.199999999999999" customHeight="1" x14ac:dyDescent="0.25">
      <c r="M727" s="4"/>
    </row>
    <row r="728" spans="13:13" ht="10.199999999999999" customHeight="1" x14ac:dyDescent="0.25">
      <c r="M728" s="4"/>
    </row>
    <row r="729" spans="13:13" ht="10.199999999999999" customHeight="1" x14ac:dyDescent="0.25">
      <c r="M729" s="4"/>
    </row>
    <row r="730" spans="13:13" ht="10.199999999999999" customHeight="1" x14ac:dyDescent="0.25">
      <c r="M730" s="4"/>
    </row>
    <row r="731" spans="13:13" ht="10.199999999999999" customHeight="1" x14ac:dyDescent="0.25">
      <c r="M731" s="4"/>
    </row>
    <row r="732" spans="13:13" ht="10.199999999999999" customHeight="1" x14ac:dyDescent="0.25">
      <c r="M732" s="4"/>
    </row>
    <row r="733" spans="13:13" ht="10.199999999999999" customHeight="1" x14ac:dyDescent="0.25">
      <c r="M733" s="4"/>
    </row>
    <row r="734" spans="13:13" ht="10.199999999999999" customHeight="1" x14ac:dyDescent="0.25">
      <c r="M734" s="4"/>
    </row>
    <row r="735" spans="13:13" ht="10.199999999999999" customHeight="1" x14ac:dyDescent="0.25">
      <c r="M735" s="4"/>
    </row>
    <row r="736" spans="13:13" ht="10.199999999999999" customHeight="1" x14ac:dyDescent="0.25">
      <c r="M736" s="4"/>
    </row>
    <row r="737" spans="13:13" ht="10.199999999999999" customHeight="1" x14ac:dyDescent="0.25">
      <c r="M737" s="4"/>
    </row>
    <row r="738" spans="13:13" ht="10.199999999999999" customHeight="1" x14ac:dyDescent="0.25"/>
    <row r="739" spans="13:13" ht="10.199999999999999" customHeight="1" x14ac:dyDescent="0.25"/>
    <row r="740" spans="13:13" ht="10.199999999999999" customHeight="1" x14ac:dyDescent="0.25"/>
    <row r="741" spans="13:13" ht="10.199999999999999" customHeight="1" x14ac:dyDescent="0.25"/>
  </sheetData>
  <hyperlinks>
    <hyperlink ref="J140" r:id="rId1" xr:uid="{5DE30FBF-E152-4E5B-9BDE-7177966FF92F}"/>
  </hyperlinks>
  <pageMargins left="0.75" right="0.78740157499999996" top="1" bottom="0.75" header="0.5" footer="0.5"/>
  <pageSetup paperSize="9" fitToWidth="0" fitToHeight="0" orientation="landscape" r:id="rId2"/>
  <headerFooter alignWithMargins="0"/>
  <ignoredErrors>
    <ignoredError sqref="C3:C221" calculatedColumn="1"/>
  </ignoredError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A19B-4689-4960-9E17-369273EFFC93}">
  <dimension ref="F3:F10"/>
  <sheetViews>
    <sheetView workbookViewId="0">
      <selection activeCell="F3" sqref="F3:F10"/>
    </sheetView>
  </sheetViews>
  <sheetFormatPr defaultRowHeight="13.2" x14ac:dyDescent="0.25"/>
  <sheetData>
    <row r="3" spans="6:6" x14ac:dyDescent="0.25">
      <c r="F3" t="s">
        <v>1282</v>
      </c>
    </row>
    <row r="4" spans="6:6" x14ac:dyDescent="0.25">
      <c r="F4" t="s">
        <v>1281</v>
      </c>
    </row>
    <row r="5" spans="6:6" x14ac:dyDescent="0.25">
      <c r="F5" t="s">
        <v>1279</v>
      </c>
    </row>
    <row r="6" spans="6:6" x14ac:dyDescent="0.25">
      <c r="F6" t="s">
        <v>1280</v>
      </c>
    </row>
    <row r="7" spans="6:6" x14ac:dyDescent="0.25">
      <c r="F7" t="s">
        <v>1283</v>
      </c>
    </row>
    <row r="8" spans="6:6" x14ac:dyDescent="0.25">
      <c r="F8" t="s">
        <v>1286</v>
      </c>
    </row>
    <row r="9" spans="6:6" x14ac:dyDescent="0.25">
      <c r="F9" t="s">
        <v>1285</v>
      </c>
    </row>
    <row r="10" spans="6:6" x14ac:dyDescent="0.25">
      <c r="F10" t="s">
        <v>1429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RELAÇÃO DE EMPRESAS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João Silva</cp:lastModifiedBy>
  <dcterms:created xsi:type="dcterms:W3CDTF">2025-11-19T18:40:58Z</dcterms:created>
  <dcterms:modified xsi:type="dcterms:W3CDTF">2025-11-24T12:15:24Z</dcterms:modified>
</cp:coreProperties>
</file>